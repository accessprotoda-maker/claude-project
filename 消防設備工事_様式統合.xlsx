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入力シート" sheetId="1" state="visible" r:id="rId1"/>
    <sheet xmlns:r="http://schemas.openxmlformats.org/officeDocument/2006/relationships" name="着工届出書" sheetId="2" state="visible" r:id="rId2"/>
    <sheet xmlns:r="http://schemas.openxmlformats.org/officeDocument/2006/relationships" name="設置届出書" sheetId="3" state="visible" r:id="rId3"/>
    <sheet xmlns:r="http://schemas.openxmlformats.org/officeDocument/2006/relationships" name="概要表（その1）" sheetId="4" state="visible" r:id="rId4"/>
    <sheet xmlns:r="http://schemas.openxmlformats.org/officeDocument/2006/relationships" name="概要表（その2）" sheetId="5" state="visible" r:id="rId5"/>
    <sheet xmlns:r="http://schemas.openxmlformats.org/officeDocument/2006/relationships" name="試験結果(様式11)" sheetId="6" state="visible" r:id="rId6"/>
    <sheet xmlns:r="http://schemas.openxmlformats.org/officeDocument/2006/relationships" name="試験結果(様式34)" sheetId="7" state="visible" r:id="rId7"/>
    <sheet xmlns:r="http://schemas.openxmlformats.org/officeDocument/2006/relationships" name="配線試験結果" sheetId="8" state="visible" r:id="rId8"/>
  </sheets>
  <definedNames>
    <definedName name="_xlnm.Print_Area" localSheetId="1">'着工届出書'!$A$1:$R$31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ＭＳ ゴシック"/>
      <b val="1"/>
      <sz val="14"/>
    </font>
    <font>
      <name val="ＭＳ ゴシック"/>
      <sz val="7.5"/>
    </font>
    <font>
      <name val="ＭＳ ゴシック"/>
      <b val="1"/>
      <sz val="11"/>
    </font>
    <font>
      <name val="ＭＳ ゴシック"/>
      <b val="1"/>
      <sz val="9"/>
    </font>
    <font>
      <name val="ＭＳ ゴシック"/>
      <sz val="9"/>
    </font>
  </fonts>
  <fills count="6">
    <fill>
      <patternFill/>
    </fill>
    <fill>
      <patternFill patternType="gray125"/>
    </fill>
    <fill>
      <patternFill patternType="solid">
        <fgColor rgb="00B4C6E7"/>
      </patternFill>
    </fill>
    <fill>
      <patternFill patternType="solid">
        <fgColor rgb="00D9E1F2"/>
      </patternFill>
    </fill>
    <fill>
      <patternFill patternType="solid">
        <fgColor rgb="00FFFFCC"/>
      </patternFill>
    </fill>
    <fill>
      <patternFill patternType="solid">
        <fgColor rgb="00E0FFE0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/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2" fillId="0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1" fillId="0" borderId="2" applyAlignment="1" pivotButton="0" quotePrefix="0" xfId="0">
      <alignment horizontal="center" vertical="center" wrapText="1"/>
    </xf>
    <xf numFmtId="0" fontId="0" fillId="0" borderId="2" pivotButton="0" quotePrefix="0" xfId="0"/>
    <xf numFmtId="0" fontId="5" fillId="5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right" vertical="center" wrapText="1"/>
    </xf>
    <xf numFmtId="0" fontId="2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righ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0000"/>
    <outlinePr summaryBelow="1" summaryRight="1"/>
    <pageSetUpPr/>
  </sheetPr>
  <dimension ref="A1:G9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  <col width="28" customWidth="1" min="5" max="5"/>
    <col width="28" customWidth="1" min="6" max="6"/>
    <col width="28" customWidth="1" min="7" max="7"/>
  </cols>
  <sheetData>
    <row r="1">
      <c r="A1" s="1" t="inlineStr">
        <is>
          <t>消防設備工事 統合入力シート</t>
        </is>
      </c>
      <c r="B1" s="2" t="n"/>
      <c r="C1" s="2" t="n"/>
      <c r="D1" s="2" t="n"/>
      <c r="E1" s="2" t="n"/>
      <c r="F1" s="2" t="n"/>
      <c r="G1" s="2" t="n"/>
    </row>
    <row r="2">
      <c r="A2" s="3" t="inlineStr">
        <is>
          <t>※ 黄色セルに入力 → 各書式に自動反映されます</t>
        </is>
      </c>
    </row>
    <row r="4">
      <c r="A4" s="4" t="inlineStr">
        <is>
          <t>【基本情報】</t>
        </is>
      </c>
      <c r="B4" s="2" t="n"/>
      <c r="C4" s="2" t="n"/>
      <c r="D4" s="2" t="n"/>
    </row>
    <row r="5">
      <c r="A5" s="5" t="inlineStr">
        <is>
          <t>担当消防署（例：○○消防署長　殿）</t>
        </is>
      </c>
      <c r="B5" s="6" t="n"/>
    </row>
    <row r="6">
      <c r="A6" s="5" t="inlineStr">
        <is>
          <t>届出日</t>
        </is>
      </c>
      <c r="B6" s="6" t="n"/>
    </row>
    <row r="7">
      <c r="A7" s="5" t="inlineStr">
        <is>
          <t>届出者 住所</t>
        </is>
      </c>
      <c r="B7" s="6" t="n"/>
    </row>
    <row r="8">
      <c r="A8" s="5" t="inlineStr">
        <is>
          <t>届出者 氏名（管理組合名等）</t>
        </is>
      </c>
      <c r="B8" s="6" t="n"/>
    </row>
    <row r="9">
      <c r="A9" s="5" t="inlineStr">
        <is>
          <t>工事場所（住所）</t>
        </is>
      </c>
      <c r="B9" s="6" t="n"/>
    </row>
    <row r="10">
      <c r="A10" s="5" t="inlineStr">
        <is>
          <t>防火対象物の名称</t>
        </is>
      </c>
      <c r="B10" s="6" t="n"/>
    </row>
    <row r="11">
      <c r="A11" s="5" t="inlineStr">
        <is>
          <t>設備の種類</t>
        </is>
      </c>
      <c r="B11" s="6" t="inlineStr">
        <is>
          <t>自動火災報知設備</t>
        </is>
      </c>
    </row>
    <row r="12">
      <c r="A12" s="5" t="inlineStr">
        <is>
          <t>用途（例：5項ロ）</t>
        </is>
      </c>
      <c r="B12" s="6" t="n"/>
    </row>
    <row r="13">
      <c r="A13" s="5" t="inlineStr">
        <is>
          <t>構造</t>
        </is>
      </c>
      <c r="B13" s="6" t="inlineStr">
        <is>
          <t>耐火構造</t>
        </is>
      </c>
    </row>
    <row r="14">
      <c r="A14" s="5" t="inlineStr">
        <is>
          <t>地上階数</t>
        </is>
      </c>
      <c r="B14" s="6" t="n"/>
    </row>
    <row r="15">
      <c r="A15" s="5" t="inlineStr">
        <is>
          <t>地下階数</t>
        </is>
      </c>
      <c r="B15" s="6" t="n"/>
    </row>
    <row r="16">
      <c r="A16" s="5" t="inlineStr">
        <is>
          <t>延べ面積（㎡）</t>
        </is>
      </c>
      <c r="B16" s="6" t="n"/>
    </row>
    <row r="17">
      <c r="A17" s="5" t="inlineStr">
        <is>
          <t>着工予定日</t>
        </is>
      </c>
      <c r="B17" s="6" t="n"/>
    </row>
    <row r="18">
      <c r="A18" s="5" t="inlineStr">
        <is>
          <t>完成予定日</t>
        </is>
      </c>
      <c r="B18" s="6" t="n"/>
    </row>
    <row r="19">
      <c r="A19" s="5" t="inlineStr">
        <is>
          <t>理事長名（設置届用）</t>
        </is>
      </c>
      <c r="B19" s="6" t="n"/>
    </row>
    <row r="20">
      <c r="A20" s="5" t="inlineStr">
        <is>
          <t>全住戸数</t>
        </is>
      </c>
      <c r="B20" s="6" t="n"/>
    </row>
    <row r="22">
      <c r="A22" s="4" t="inlineStr">
        <is>
          <t>【施工者情報】</t>
        </is>
      </c>
      <c r="B22" s="2" t="n"/>
      <c r="C22" s="2" t="n"/>
      <c r="D22" s="2" t="n"/>
    </row>
    <row r="23">
      <c r="A23" s="5" t="inlineStr">
        <is>
          <t>施工会社名</t>
        </is>
      </c>
      <c r="B23" s="6" t="inlineStr">
        <is>
          <t>株式会社　TSCアクセス・プロ</t>
        </is>
      </c>
    </row>
    <row r="24">
      <c r="A24" s="5" t="inlineStr">
        <is>
          <t>代表者名</t>
        </is>
      </c>
      <c r="B24" s="6" t="inlineStr">
        <is>
          <t>代表取締役　中村　勇</t>
        </is>
      </c>
    </row>
    <row r="25">
      <c r="A25" s="5" t="inlineStr">
        <is>
          <t>施工会社住所</t>
        </is>
      </c>
      <c r="B25" s="6" t="inlineStr">
        <is>
          <t>名古屋市中区栄４丁目１６番３号　山光堂ビル５階</t>
        </is>
      </c>
    </row>
    <row r="26">
      <c r="A26" s="5" t="inlineStr">
        <is>
          <t>電話番号</t>
        </is>
      </c>
      <c r="B26" s="6" t="inlineStr">
        <is>
          <t>052-269-9100</t>
        </is>
      </c>
    </row>
    <row r="28">
      <c r="A28" s="4" t="inlineStr">
        <is>
          <t>【消防設備士マスタ】</t>
        </is>
      </c>
      <c r="B28" s="2" t="n"/>
      <c r="C28" s="2" t="n"/>
      <c r="D28" s="2" t="n"/>
      <c r="E28" s="2" t="n"/>
      <c r="F28" s="2" t="n"/>
      <c r="G28" s="2" t="n"/>
    </row>
    <row r="29">
      <c r="A29" s="5" t="inlineStr">
        <is>
          <t>氏名</t>
        </is>
      </c>
      <c r="B29" s="5" t="inlineStr">
        <is>
          <t>住所</t>
        </is>
      </c>
      <c r="C29" s="5" t="inlineStr">
        <is>
          <t>免状種類</t>
        </is>
      </c>
      <c r="D29" s="5" t="inlineStr">
        <is>
          <t>交付年月日</t>
        </is>
      </c>
      <c r="E29" s="5" t="inlineStr">
        <is>
          <t>交付番号</t>
        </is>
      </c>
      <c r="F29" s="5" t="inlineStr">
        <is>
          <t>講習年月</t>
        </is>
      </c>
      <c r="G29" s="5" t="inlineStr">
        <is>
          <t>交付知事</t>
        </is>
      </c>
    </row>
    <row r="30">
      <c r="A30" s="7" t="inlineStr">
        <is>
          <t>河合　佑樹</t>
        </is>
      </c>
      <c r="B30" s="7" t="inlineStr">
        <is>
          <t>愛知県尾張旭市晴丘町東236番地4</t>
        </is>
      </c>
      <c r="C30" s="7" t="inlineStr">
        <is>
          <t>甲4</t>
        </is>
      </c>
      <c r="D30" s="7" t="inlineStr">
        <is>
          <t>R5年7月21日</t>
        </is>
      </c>
      <c r="E30" s="7" t="inlineStr">
        <is>
          <t>第00324号</t>
        </is>
      </c>
      <c r="F30" s="7" t="inlineStr"/>
      <c r="G30" s="7" t="inlineStr">
        <is>
          <t>愛知</t>
        </is>
      </c>
    </row>
    <row r="31">
      <c r="A31" s="7" t="inlineStr">
        <is>
          <t>戸田　健仁</t>
        </is>
      </c>
      <c r="B31" s="7" t="inlineStr">
        <is>
          <t>愛知県長久手市西原山1-1 ｾﾝﾄｱｰｽ502</t>
        </is>
      </c>
      <c r="C31" s="7" t="inlineStr">
        <is>
          <t>甲4</t>
        </is>
      </c>
      <c r="D31" s="7" t="inlineStr">
        <is>
          <t>R5年11月7日</t>
        </is>
      </c>
      <c r="E31" s="7" t="inlineStr">
        <is>
          <t>第00448号</t>
        </is>
      </c>
      <c r="F31" s="7" t="inlineStr"/>
      <c r="G31" s="7" t="inlineStr">
        <is>
          <t>愛知</t>
        </is>
      </c>
    </row>
    <row r="32">
      <c r="A32" s="7" t="inlineStr">
        <is>
          <t>棚町　征</t>
        </is>
      </c>
      <c r="B32" s="7" t="inlineStr">
        <is>
          <t>岐阜県土岐市泉町大富195番地の249</t>
        </is>
      </c>
      <c r="C32" s="7" t="inlineStr">
        <is>
          <t>甲4</t>
        </is>
      </c>
      <c r="D32" s="7" t="inlineStr">
        <is>
          <t>H14年10月30日</t>
        </is>
      </c>
      <c r="E32" s="7" t="inlineStr">
        <is>
          <t>第00009号</t>
        </is>
      </c>
      <c r="F32" s="7" t="inlineStr">
        <is>
          <t>令和元年10月</t>
        </is>
      </c>
      <c r="G32" s="7" t="inlineStr">
        <is>
          <t>愛知</t>
        </is>
      </c>
    </row>
    <row r="34">
      <c r="A34" s="5" t="inlineStr">
        <is>
          <t>着工届 届出者（選択）</t>
        </is>
      </c>
      <c r="B34" s="6" t="inlineStr">
        <is>
          <t>戸田　健仁</t>
        </is>
      </c>
    </row>
    <row r="35">
      <c r="A35" s="5" t="inlineStr">
        <is>
          <t>試験実施者（選択）</t>
        </is>
      </c>
      <c r="B35" s="6" t="n"/>
    </row>
    <row r="36">
      <c r="A36" s="5" t="inlineStr">
        <is>
          <t>配線試験実施者（選択）</t>
        </is>
      </c>
      <c r="B36" s="6" t="inlineStr">
        <is>
          <t>戸田　健仁</t>
        </is>
      </c>
    </row>
    <row r="38">
      <c r="A38" s="4" t="inlineStr">
        <is>
          <t>【受信機・機器情報（共用部）】</t>
        </is>
      </c>
      <c r="B38" s="2" t="n"/>
      <c r="C38" s="2" t="n"/>
      <c r="D38" s="2" t="n"/>
    </row>
    <row r="39">
      <c r="A39" s="5" t="inlineStr">
        <is>
          <t>受信機 型級（P・GP型 ○級）</t>
        </is>
      </c>
      <c r="B39" s="6" t="inlineStr">
        <is>
          <t>1</t>
        </is>
      </c>
    </row>
    <row r="40">
      <c r="A40" s="5" t="inlineStr">
        <is>
          <t>回線数（例：10/10）</t>
        </is>
      </c>
      <c r="B40" s="6" t="inlineStr">
        <is>
          <t>10/10</t>
        </is>
      </c>
    </row>
    <row r="41">
      <c r="A41" s="5" t="inlineStr">
        <is>
          <t>予備電源 DC（V）</t>
        </is>
      </c>
      <c r="B41" s="6" t="inlineStr">
        <is>
          <t>24</t>
        </is>
      </c>
    </row>
    <row r="42">
      <c r="A42" s="5" t="inlineStr">
        <is>
          <t>予備電源（AH）</t>
        </is>
      </c>
      <c r="B42" s="6" t="inlineStr">
        <is>
          <t>0.45</t>
        </is>
      </c>
    </row>
    <row r="43">
      <c r="A43" s="5" t="inlineStr">
        <is>
          <t>受信機設置場所</t>
        </is>
      </c>
      <c r="B43" s="6" t="inlineStr">
        <is>
          <t>管理人室</t>
        </is>
      </c>
    </row>
    <row r="44">
      <c r="A44" s="5" t="inlineStr">
        <is>
          <t>受信機メーカー</t>
        </is>
      </c>
      <c r="B44" s="6" t="inlineStr">
        <is>
          <t>パナソニック㈱</t>
        </is>
      </c>
    </row>
    <row r="45">
      <c r="A45" s="5" t="inlineStr">
        <is>
          <t>型式番号（受第○～○号）</t>
        </is>
      </c>
      <c r="B45" s="6" t="inlineStr"/>
    </row>
    <row r="47">
      <c r="A47" s="4" t="inlineStr">
        <is>
          <t>【受信機・機器情報（住戸部）】</t>
        </is>
      </c>
      <c r="B47" s="2" t="n"/>
      <c r="C47" s="2" t="n"/>
      <c r="D47" s="2" t="n"/>
    </row>
    <row r="48">
      <c r="A48" s="5" t="inlineStr">
        <is>
          <t>受信機 型級（P・GP型 ○級）</t>
        </is>
      </c>
      <c r="B48" s="6" t="inlineStr">
        <is>
          <t>3</t>
        </is>
      </c>
    </row>
    <row r="49">
      <c r="A49" s="5" t="inlineStr">
        <is>
          <t>回線数（例：1/1）</t>
        </is>
      </c>
      <c r="B49" s="6" t="inlineStr">
        <is>
          <t>1/1</t>
        </is>
      </c>
    </row>
    <row r="50">
      <c r="A50" s="5" t="inlineStr">
        <is>
          <t>受信機設置場所</t>
        </is>
      </c>
      <c r="B50" s="6" t="inlineStr">
        <is>
          <t>各住戸リビング</t>
        </is>
      </c>
    </row>
    <row r="51">
      <c r="A51" s="5" t="inlineStr">
        <is>
          <t>受信機メーカー</t>
        </is>
      </c>
      <c r="B51" s="6" t="inlineStr">
        <is>
          <t>パナソニック㈱</t>
        </is>
      </c>
    </row>
    <row r="52">
      <c r="A52" s="5" t="inlineStr">
        <is>
          <t>型式番号（受第○～○号）</t>
        </is>
      </c>
      <c r="B52" s="6" t="inlineStr"/>
    </row>
    <row r="53">
      <c r="A53" s="5" t="inlineStr">
        <is>
          <t>表示器台数</t>
        </is>
      </c>
      <c r="B53" s="6" t="inlineStr"/>
    </row>
    <row r="55">
      <c r="A55" s="4" t="inlineStr">
        <is>
          <t>【地区音響装置・発信機・表示灯】</t>
        </is>
      </c>
      <c r="B55" s="2" t="n"/>
      <c r="C55" s="2" t="n"/>
      <c r="D55" s="2" t="n"/>
    </row>
    <row r="56">
      <c r="A56" s="5" t="inlineStr">
        <is>
          <t>地区音響 認評音第（号）</t>
        </is>
      </c>
      <c r="B56" s="6" t="inlineStr">
        <is>
          <t>13-5</t>
        </is>
      </c>
    </row>
    <row r="57">
      <c r="A57" s="5" t="inlineStr">
        <is>
          <t>地区音響 メーカー</t>
        </is>
      </c>
      <c r="B57" s="6" t="inlineStr">
        <is>
          <t>パナソニック㈱</t>
        </is>
      </c>
    </row>
    <row r="58">
      <c r="A58" s="5" t="inlineStr">
        <is>
          <t>地区音響 電圧DC（V）</t>
        </is>
      </c>
      <c r="B58" s="6" t="inlineStr">
        <is>
          <t>24</t>
        </is>
      </c>
    </row>
    <row r="59">
      <c r="A59" s="5" t="inlineStr">
        <is>
          <t>地区音響 電流（mA）</t>
        </is>
      </c>
      <c r="B59" s="6" t="inlineStr">
        <is>
          <t>10</t>
        </is>
      </c>
    </row>
    <row r="60">
      <c r="A60" s="5" t="inlineStr">
        <is>
          <t>地区音響 個数</t>
        </is>
      </c>
      <c r="B60" s="6" t="inlineStr"/>
    </row>
    <row r="61">
      <c r="A61" s="5" t="inlineStr">
        <is>
          <t>地区音響 音量（dB）</t>
        </is>
      </c>
      <c r="B61" s="6" t="inlineStr">
        <is>
          <t>95</t>
        </is>
      </c>
    </row>
    <row r="62">
      <c r="A62" s="5" t="inlineStr">
        <is>
          <t>地区音響 鐘径（mm）</t>
        </is>
      </c>
      <c r="B62" s="6" t="inlineStr">
        <is>
          <t>150</t>
        </is>
      </c>
    </row>
    <row r="63">
      <c r="A63" s="5" t="inlineStr">
        <is>
          <t>発信機 型（P等）</t>
        </is>
      </c>
      <c r="B63" s="6" t="inlineStr">
        <is>
          <t>P</t>
        </is>
      </c>
    </row>
    <row r="64">
      <c r="A64" s="5" t="inlineStr">
        <is>
          <t>発信機 級</t>
        </is>
      </c>
      <c r="B64" s="6" t="inlineStr">
        <is>
          <t>1</t>
        </is>
      </c>
    </row>
    <row r="65">
      <c r="A65" s="5" t="inlineStr">
        <is>
          <t>発信機 個数（屋外型）</t>
        </is>
      </c>
      <c r="B65" s="6" t="inlineStr"/>
    </row>
    <row r="66">
      <c r="A66" s="5" t="inlineStr">
        <is>
          <t>発信機 型式番号（発第）</t>
        </is>
      </c>
      <c r="B66" s="6" t="inlineStr"/>
    </row>
    <row r="67">
      <c r="A67" s="5" t="inlineStr">
        <is>
          <t>発信機 メーカー</t>
        </is>
      </c>
      <c r="B67" s="6" t="inlineStr">
        <is>
          <t>パナソニック㈱</t>
        </is>
      </c>
    </row>
    <row r="68">
      <c r="A68" s="5" t="inlineStr">
        <is>
          <t>表示灯 電圧DC（V）</t>
        </is>
      </c>
      <c r="B68" s="6" t="inlineStr">
        <is>
          <t>24</t>
        </is>
      </c>
    </row>
    <row r="69">
      <c r="A69" s="5" t="inlineStr">
        <is>
          <t>表示灯 電流（mA）</t>
        </is>
      </c>
      <c r="B69" s="6" t="inlineStr">
        <is>
          <t>9</t>
        </is>
      </c>
    </row>
    <row r="70">
      <c r="A70" s="5" t="inlineStr">
        <is>
          <t>表示灯 個数</t>
        </is>
      </c>
      <c r="B70" s="6" t="inlineStr"/>
    </row>
    <row r="72">
      <c r="A72" s="4" t="inlineStr">
        <is>
          <t>【配線試験 絶縁抵抗値】</t>
        </is>
      </c>
      <c r="B72" s="2" t="n"/>
      <c r="C72" s="2" t="n"/>
      <c r="D72" s="2" t="n"/>
    </row>
    <row r="73">
      <c r="A73" s="5" t="inlineStr">
        <is>
          <t>電源回路 試験電圧（V）</t>
        </is>
      </c>
      <c r="B73" s="6" t="inlineStr">
        <is>
          <t>250</t>
        </is>
      </c>
    </row>
    <row r="74">
      <c r="A74" s="5" t="inlineStr">
        <is>
          <t>電源回路 絶縁抵抗（MΩ）</t>
        </is>
      </c>
      <c r="B74" s="6" t="inlineStr">
        <is>
          <t>150</t>
        </is>
      </c>
    </row>
    <row r="75">
      <c r="A75" s="5" t="inlineStr">
        <is>
          <t>操作回路 試験電圧（V）</t>
        </is>
      </c>
      <c r="B75" s="6" t="inlineStr">
        <is>
          <t>50</t>
        </is>
      </c>
    </row>
    <row r="76">
      <c r="A76" s="5" t="inlineStr">
        <is>
          <t>操作回路 絶縁抵抗（MΩ）</t>
        </is>
      </c>
      <c r="B76" s="6" t="inlineStr">
        <is>
          <t>20</t>
        </is>
      </c>
    </row>
    <row r="77">
      <c r="A77" s="5" t="inlineStr">
        <is>
          <t>表示灯回路 試験電圧（V）</t>
        </is>
      </c>
      <c r="B77" s="6" t="inlineStr">
        <is>
          <t>50</t>
        </is>
      </c>
    </row>
    <row r="78">
      <c r="A78" s="5" t="inlineStr">
        <is>
          <t>表示灯回路 絶縁抵抗（MΩ）</t>
        </is>
      </c>
      <c r="B78" s="6" t="inlineStr">
        <is>
          <t>20</t>
        </is>
      </c>
    </row>
    <row r="79">
      <c r="A79" s="5" t="inlineStr">
        <is>
          <t>警報回路 試験電圧（V）</t>
        </is>
      </c>
      <c r="B79" s="6" t="inlineStr">
        <is>
          <t>50</t>
        </is>
      </c>
    </row>
    <row r="80">
      <c r="A80" s="5" t="inlineStr">
        <is>
          <t>警報回路 絶縁抵抗（MΩ）</t>
        </is>
      </c>
      <c r="B80" s="6" t="inlineStr">
        <is>
          <t>20</t>
        </is>
      </c>
    </row>
    <row r="81">
      <c r="A81" s="5" t="inlineStr">
        <is>
          <t>感知器回路 試験電圧（V）</t>
        </is>
      </c>
      <c r="B81" s="6" t="inlineStr">
        <is>
          <t>50</t>
        </is>
      </c>
    </row>
    <row r="82">
      <c r="A82" s="5" t="inlineStr">
        <is>
          <t>感知器回路 絶縁抵抗（MΩ）</t>
        </is>
      </c>
      <c r="B82" s="6" t="inlineStr">
        <is>
          <t>20</t>
        </is>
      </c>
    </row>
    <row r="84">
      <c r="A84" s="4" t="inlineStr">
        <is>
          <t>【工事関連】</t>
        </is>
      </c>
      <c r="B84" s="2" t="n"/>
      <c r="C84" s="2" t="n"/>
      <c r="D84" s="2" t="n"/>
    </row>
    <row r="85">
      <c r="A85" s="5" t="inlineStr">
        <is>
          <t>工事種別</t>
        </is>
      </c>
      <c r="B85" s="6" t="inlineStr">
        <is>
          <t>取替え</t>
        </is>
      </c>
    </row>
    <row r="86">
      <c r="A86" s="5" t="inlineStr">
        <is>
          <t>試験実施日</t>
        </is>
      </c>
      <c r="B86" s="6" t="n"/>
    </row>
    <row r="87">
      <c r="A87" s="5" t="inlineStr">
        <is>
          <t>完成年月日</t>
        </is>
      </c>
      <c r="B87" s="6" t="n"/>
    </row>
    <row r="88">
      <c r="A88" s="5" t="inlineStr">
        <is>
          <t>関連設備</t>
        </is>
      </c>
      <c r="B88" s="6" t="inlineStr">
        <is>
          <t>インターホン設備</t>
        </is>
      </c>
    </row>
    <row r="89">
      <c r="A89" s="5" t="inlineStr">
        <is>
          <t>鳴動方式</t>
        </is>
      </c>
      <c r="B89" s="6" t="inlineStr">
        <is>
          <t>一斉鳴動</t>
        </is>
      </c>
    </row>
    <row r="90">
      <c r="A90" s="5" t="inlineStr">
        <is>
          <t>放送設備連動</t>
        </is>
      </c>
      <c r="B90" s="6" t="inlineStr">
        <is>
          <t>無</t>
        </is>
      </c>
    </row>
    <row r="91">
      <c r="A91" s="5" t="inlineStr">
        <is>
          <t>中継器設置場所</t>
        </is>
      </c>
      <c r="B91" s="6" t="inlineStr">
        <is>
          <t>戸外表示機組込</t>
        </is>
      </c>
    </row>
    <row r="92">
      <c r="A92" s="5" t="inlineStr">
        <is>
          <t>受信機操作部 高さ（m）</t>
        </is>
      </c>
      <c r="B92" s="6" t="inlineStr">
        <is>
          <t>1.4</t>
        </is>
      </c>
    </row>
  </sheetData>
  <mergeCells count="9">
    <mergeCell ref="A1:G1"/>
    <mergeCell ref="A22:D22"/>
    <mergeCell ref="A4:D4"/>
    <mergeCell ref="A38:D38"/>
    <mergeCell ref="A55:D55"/>
    <mergeCell ref="A72:D72"/>
    <mergeCell ref="A47:D47"/>
    <mergeCell ref="A84:D84"/>
    <mergeCell ref="A28:G28"/>
  </mergeCells>
  <dataValidations count="8">
    <dataValidation sqref="B11" showDropDown="0" showInputMessage="0" showErrorMessage="0" allowBlank="1" type="list">
      <formula1>"自動火災報知設備,共同住宅用自動火災報知設備,住戸用自動火災報知設備"</formula1>
    </dataValidation>
    <dataValidation sqref="B13" showDropDown="0" showInputMessage="0" showErrorMessage="0" allowBlank="1" type="list">
      <formula1>"耐火構造,準耐火構造,その他"</formula1>
    </dataValidation>
    <dataValidation sqref="B34" showDropDown="0" showInputMessage="0" showErrorMessage="0" allowBlank="1" type="list">
      <formula1>"河合　佑樹,戸田　健仁,棚町　征"</formula1>
    </dataValidation>
    <dataValidation sqref="B35" showDropDown="0" showInputMessage="0" showErrorMessage="0" allowBlank="1" type="list">
      <formula1>"河合　佑樹,戸田　健仁,棚町　征"</formula1>
    </dataValidation>
    <dataValidation sqref="B36" showDropDown="0" showInputMessage="0" showErrorMessage="0" allowBlank="1" type="list">
      <formula1>"河合　佑樹,戸田　健仁,棚町　征"</formula1>
    </dataValidation>
    <dataValidation sqref="B85" showDropDown="0" showInputMessage="0" showErrorMessage="0" allowBlank="1" type="list">
      <formula1>"新設,増設,移設,取替え,改造,その他"</formula1>
    </dataValidation>
    <dataValidation sqref="B89" showDropDown="0" showInputMessage="0" showErrorMessage="0" allowBlank="1" type="list">
      <formula1>"一斉鳴動,区分鳴動"</formula1>
    </dataValidation>
    <dataValidation sqref="B90" showDropDown="0" showInputMessage="0" showErrorMessage="0" allowBlank="1" type="list">
      <formula1>"有,無"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4472C4"/>
    <outlinePr summaryBelow="1" summaryRight="1"/>
    <pageSetUpPr/>
  </sheetPr>
  <dimension ref="A1:R31"/>
  <sheetViews>
    <sheetView workbookViewId="0">
      <selection activeCell="A1" sqref="A1"/>
    </sheetView>
  </sheetViews>
  <sheetFormatPr baseColWidth="8" defaultRowHeight="15"/>
  <cols>
    <col width="2.5" customWidth="1" min="1" max="1"/>
    <col width="5" customWidth="1" min="2" max="2"/>
    <col width="5" customWidth="1" min="3" max="3"/>
    <col width="5" customWidth="1" min="4" max="4"/>
    <col width="5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5" customWidth="1" min="11" max="11"/>
    <col width="5" customWidth="1" min="12" max="12"/>
    <col width="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</cols>
  <sheetData>
    <row r="1">
      <c r="A1" s="8" t="inlineStr">
        <is>
          <t>別記様式第１号の７（第３３条の１８関係）</t>
        </is>
      </c>
    </row>
    <row r="3">
      <c r="A3" s="9" t="inlineStr">
        <is>
          <t>工事整備対象設備等着工届出書</t>
        </is>
      </c>
      <c r="B3" s="10" t="n"/>
      <c r="C3" s="10" t="n"/>
      <c r="D3" s="10" t="n"/>
      <c r="E3" s="10" t="n"/>
      <c r="F3" s="10" t="n"/>
      <c r="G3" s="10" t="n"/>
      <c r="H3" s="10" t="n"/>
      <c r="I3" s="10" t="n"/>
      <c r="J3" s="10" t="n"/>
      <c r="K3" s="10" t="n"/>
      <c r="L3" s="10" t="n"/>
      <c r="M3" s="10" t="n"/>
      <c r="N3" s="10" t="n"/>
      <c r="O3" s="10" t="n"/>
      <c r="P3" s="10" t="n"/>
      <c r="Q3" s="10" t="n"/>
      <c r="R3" s="10" t="n"/>
    </row>
    <row r="5">
      <c r="A5" s="11">
        <f>入力シート!B6</f>
        <v/>
      </c>
      <c r="B5" s="10" t="n"/>
      <c r="C5" s="10" t="n"/>
      <c r="D5" s="10" t="n"/>
      <c r="E5" s="10" t="n"/>
      <c r="F5" s="10" t="n"/>
      <c r="G5" s="10" t="n"/>
      <c r="H5" s="10" t="n"/>
      <c r="I5" s="10" t="n"/>
    </row>
    <row r="7">
      <c r="A7" s="11">
        <f>入力シート!B5</f>
        <v/>
      </c>
      <c r="B7" s="10" t="n"/>
      <c r="C7" s="10" t="n"/>
      <c r="D7" s="10" t="n"/>
      <c r="E7" s="10" t="n"/>
      <c r="F7" s="10" t="n"/>
      <c r="G7" s="10" t="n"/>
      <c r="H7" s="10" t="n"/>
      <c r="I7" s="10" t="n"/>
    </row>
    <row r="9">
      <c r="H9" s="12" t="inlineStr">
        <is>
          <t>届 出 者</t>
        </is>
      </c>
    </row>
    <row r="10">
      <c r="H10" s="13" t="inlineStr">
        <is>
          <t>住 所</t>
        </is>
      </c>
      <c r="I10" s="11">
        <f>VLOOKUP(入力シート!B34,入力シート!A30:G32,2,FALSE)</f>
        <v/>
      </c>
      <c r="J10" s="10" t="n"/>
      <c r="K10" s="10" t="n"/>
      <c r="L10" s="10" t="n"/>
      <c r="M10" s="10" t="n"/>
      <c r="N10" s="10" t="n"/>
      <c r="O10" s="10" t="n"/>
      <c r="P10" s="10" t="n"/>
      <c r="Q10" s="10" t="n"/>
      <c r="R10" s="10" t="n"/>
    </row>
    <row r="11">
      <c r="H11" s="13" t="inlineStr">
        <is>
          <t>氏 名</t>
        </is>
      </c>
      <c r="I11" s="11">
        <f>入力シート!B34</f>
        <v/>
      </c>
      <c r="J11" s="10" t="n"/>
      <c r="K11" s="10" t="n"/>
      <c r="L11" s="10" t="n"/>
      <c r="M11" s="10" t="n"/>
      <c r="N11" s="10" t="n"/>
      <c r="O11" s="10" t="n"/>
      <c r="P11" s="10" t="n"/>
      <c r="Q11" s="10" t="n"/>
      <c r="R11" s="10" t="n"/>
    </row>
    <row r="13">
      <c r="A13" s="7" t="inlineStr">
        <is>
          <t>工事の場所</t>
        </is>
      </c>
      <c r="B13" s="2" t="n"/>
      <c r="C13" s="2" t="n"/>
      <c r="D13" s="2" t="n"/>
      <c r="E13" s="2" t="n"/>
      <c r="F13" s="2" t="n"/>
      <c r="G13" s="2" t="n"/>
      <c r="H13" s="11">
        <f>入力シート!B9</f>
        <v/>
      </c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</row>
    <row r="14">
      <c r="A14" s="7" t="inlineStr">
        <is>
          <t>工事を行う防火対象物の名称</t>
        </is>
      </c>
      <c r="B14" s="2" t="n"/>
      <c r="C14" s="2" t="n"/>
      <c r="D14" s="2" t="n"/>
      <c r="E14" s="2" t="n"/>
      <c r="F14" s="2" t="n"/>
      <c r="G14" s="2" t="n"/>
      <c r="H14" s="11">
        <f>入力シート!B10</f>
        <v/>
      </c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</row>
    <row r="15">
      <c r="A15" s="7" t="inlineStr">
        <is>
          <t>工事整備対象設備等の種類</t>
        </is>
      </c>
      <c r="B15" s="2" t="n"/>
      <c r="C15" s="2" t="n"/>
      <c r="D15" s="2" t="n"/>
      <c r="E15" s="2" t="n"/>
      <c r="F15" s="2" t="n"/>
      <c r="G15" s="2" t="n"/>
      <c r="H15" s="11">
        <f>入力シート!B11</f>
        <v/>
      </c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</row>
    <row r="16">
      <c r="A16" s="14" t="inlineStr">
        <is>
          <t>工事整備対象設備
等の工事施工者</t>
        </is>
      </c>
      <c r="B16" s="2" t="n"/>
      <c r="C16" s="7" t="inlineStr">
        <is>
          <t>住所</t>
        </is>
      </c>
      <c r="D16" s="11">
        <f>入力シート!B25</f>
        <v/>
      </c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</row>
    <row r="17">
      <c r="A17" s="2" t="n"/>
      <c r="B17" s="2" t="n"/>
      <c r="C17" s="7" t="inlineStr">
        <is>
          <t>氏名</t>
        </is>
      </c>
      <c r="D17" s="11">
        <f>入力シート!B23&amp;"  "&amp;入力シート!B24</f>
        <v/>
      </c>
      <c r="E17" s="2" t="n"/>
      <c r="F17" s="2" t="n"/>
      <c r="G17" s="2" t="n"/>
      <c r="H17" s="2" t="n"/>
      <c r="I17" s="2" t="n"/>
      <c r="J17" s="11">
        <f>"電話　"&amp;入力シート!B26</f>
        <v/>
      </c>
      <c r="K17" s="2" t="n"/>
      <c r="L17" s="2" t="n"/>
      <c r="M17" s="2" t="n"/>
      <c r="N17" s="2" t="n"/>
      <c r="O17" s="2" t="n"/>
      <c r="P17" s="2" t="n"/>
      <c r="Q17" s="2" t="n"/>
      <c r="R17" s="2" t="n"/>
    </row>
    <row r="18">
      <c r="A18" s="7" t="inlineStr">
        <is>
          <t>消防設備士</t>
        </is>
      </c>
      <c r="B18" s="2" t="n"/>
      <c r="C18" s="14" t="inlineStr">
        <is>
          <t>免状の
種類及び指定区分</t>
        </is>
      </c>
      <c r="D18" s="2" t="n"/>
      <c r="E18" s="14" t="inlineStr">
        <is>
          <t>種類等</t>
        </is>
      </c>
      <c r="F18" s="14" t="inlineStr">
        <is>
          <t>交付知事</t>
        </is>
      </c>
      <c r="G18" s="2" t="n"/>
      <c r="H18" s="14" t="inlineStr">
        <is>
          <t>交付年月日</t>
        </is>
      </c>
      <c r="I18" s="2" t="n"/>
      <c r="J18" s="2" t="n"/>
      <c r="K18" s="2" t="n"/>
      <c r="L18" s="2" t="n"/>
      <c r="M18" s="14" t="inlineStr">
        <is>
          <t>講習受講状況</t>
        </is>
      </c>
      <c r="N18" s="2" t="n"/>
      <c r="O18" s="2" t="n"/>
      <c r="P18" s="2" t="n"/>
      <c r="Q18" s="2" t="n"/>
      <c r="R18" s="2" t="n"/>
    </row>
    <row r="19">
      <c r="A19" s="2" t="n"/>
      <c r="B19" s="2" t="n"/>
      <c r="C19" s="2" t="n"/>
      <c r="D19" s="2" t="n"/>
      <c r="E19" s="7" t="n"/>
      <c r="F19" s="14" t="n"/>
      <c r="G19" s="2" t="n"/>
      <c r="H19" s="14" t="inlineStr">
        <is>
          <t>交付番号</t>
        </is>
      </c>
      <c r="I19" s="2" t="n"/>
      <c r="J19" s="2" t="n"/>
      <c r="K19" s="2" t="n"/>
      <c r="L19" s="2" t="n"/>
      <c r="M19" s="14" t="inlineStr">
        <is>
          <t>受講地</t>
        </is>
      </c>
      <c r="N19" s="2" t="n"/>
      <c r="O19" s="2" t="n"/>
      <c r="P19" s="14" t="inlineStr">
        <is>
          <t>受講年月</t>
        </is>
      </c>
      <c r="Q19" s="2" t="n"/>
      <c r="R19" s="2" t="n"/>
    </row>
    <row r="20">
      <c r="A20" s="2" t="n"/>
      <c r="B20" s="2" t="n"/>
      <c r="C20" s="14" t="inlineStr">
        <is>
          <t>甲・乙</t>
        </is>
      </c>
      <c r="D20" s="11">
        <f>"種4類"</f>
        <v/>
      </c>
      <c r="E20" s="14" t="n"/>
      <c r="F20" s="11">
        <f>VLOOKUP(入力シート!B34,入力シート!A30:G32,7,FALSE)</f>
        <v/>
      </c>
      <c r="G20" s="2" t="n"/>
      <c r="H20" s="11">
        <f>VLOOKUP(入力シート!B34,入力シート!A30:G32,4,FALSE)</f>
        <v/>
      </c>
      <c r="I20" s="2" t="n"/>
      <c r="J20" s="2" t="n"/>
      <c r="K20" s="2" t="n"/>
      <c r="L20" s="2" t="n"/>
    </row>
    <row r="21">
      <c r="A21" s="2" t="n"/>
      <c r="B21" s="2" t="n"/>
      <c r="C21" s="14" t="inlineStr">
        <is>
          <t>甲・乙</t>
        </is>
      </c>
      <c r="D21" s="14" t="n"/>
      <c r="E21" s="14" t="n"/>
      <c r="F21" s="14" t="n"/>
      <c r="G21" s="2" t="n"/>
      <c r="H21" s="11">
        <f>VLOOKUP(入力シート!B34,入力シート!A30:G32,5,FALSE)</f>
        <v/>
      </c>
      <c r="I21" s="2" t="n"/>
      <c r="J21" s="2" t="n"/>
      <c r="K21" s="2" t="n"/>
      <c r="L21" s="2" t="n"/>
      <c r="M21" s="14" t="n"/>
      <c r="N21" s="2" t="n"/>
      <c r="O21" s="2" t="n"/>
      <c r="P21" s="11">
        <f>VLOOKUP(入力シート!B34,入力シート!A30:G32,6,FALSE)</f>
        <v/>
      </c>
      <c r="Q21" s="2" t="n"/>
      <c r="R21" s="2" t="n"/>
    </row>
    <row r="22">
      <c r="A22" s="7" t="inlineStr">
        <is>
          <t>工事の種別</t>
        </is>
      </c>
      <c r="B22" s="2" t="n"/>
      <c r="C22" s="2" t="n"/>
      <c r="D22" s="2" t="n"/>
      <c r="E22" s="2" t="n"/>
      <c r="F22" s="2" t="n"/>
      <c r="G22" s="2" t="n"/>
      <c r="H22" s="15" t="inlineStr">
        <is>
          <t>１ 新設　２ 増設　３ 移設　４ 取替え　５ 改造　６ その他</t>
        </is>
      </c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</row>
    <row r="23">
      <c r="A23" s="7" t="inlineStr">
        <is>
          <t>着工予定日</t>
        </is>
      </c>
      <c r="B23" s="2" t="n"/>
      <c r="C23" s="2" t="n"/>
      <c r="D23" s="2" t="n"/>
      <c r="E23" s="2" t="n"/>
      <c r="F23" s="2" t="n"/>
      <c r="G23" s="2" t="n"/>
      <c r="H23" s="11">
        <f>入力シート!B17</f>
        <v/>
      </c>
      <c r="I23" s="2" t="n"/>
      <c r="J23" s="2" t="n"/>
      <c r="K23" s="2" t="n"/>
      <c r="L23" s="2" t="n"/>
      <c r="M23" s="7" t="inlineStr">
        <is>
          <t>完成予定日</t>
        </is>
      </c>
      <c r="N23" s="2" t="n"/>
      <c r="O23" s="2" t="n"/>
      <c r="P23" s="11">
        <f>入力シート!B18</f>
        <v/>
      </c>
      <c r="Q23" s="2" t="n"/>
      <c r="R23" s="2" t="n"/>
    </row>
    <row r="24">
      <c r="A24" s="16" t="inlineStr">
        <is>
          <t>※ 受　付　欄</t>
        </is>
      </c>
      <c r="B24" s="2" t="n"/>
      <c r="C24" s="2" t="n"/>
      <c r="D24" s="2" t="n"/>
      <c r="E24" s="2" t="n"/>
      <c r="F24" s="2" t="n"/>
      <c r="G24" s="2" t="n"/>
      <c r="H24" s="2" t="n"/>
      <c r="I24" s="2" t="n"/>
      <c r="J24" s="16" t="inlineStr">
        <is>
          <t>※ 経　過　欄</t>
        </is>
      </c>
      <c r="K24" s="2" t="n"/>
      <c r="L24" s="2" t="n"/>
      <c r="M24" s="2" t="n"/>
      <c r="N24" s="2" t="n"/>
      <c r="O24" s="2" t="n"/>
      <c r="P24" s="2" t="n"/>
      <c r="Q24" s="2" t="n"/>
      <c r="R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</row>
    <row r="28">
      <c r="A28" s="8" t="inlineStr">
        <is>
          <t>備考</t>
        </is>
      </c>
    </row>
    <row r="29">
      <c r="B29" s="8" t="inlineStr">
        <is>
          <t>１ この用紙の大きさは、日本産業規格Ａ４とすること。</t>
        </is>
      </c>
    </row>
    <row r="30">
      <c r="B30" s="8" t="inlineStr">
        <is>
          <t>２ 工事の種別の欄は、該当する事項を○印で囲むこと。</t>
        </is>
      </c>
    </row>
    <row r="31">
      <c r="B31" s="8" t="inlineStr">
        <is>
          <t>３ ※印の欄には、記入しないこと。</t>
        </is>
      </c>
    </row>
  </sheetData>
  <mergeCells count="38">
    <mergeCell ref="A7:I7"/>
    <mergeCell ref="A14:G14"/>
    <mergeCell ref="P21:R21"/>
    <mergeCell ref="H20:L20"/>
    <mergeCell ref="A22:G22"/>
    <mergeCell ref="F19:G19"/>
    <mergeCell ref="D17:I17"/>
    <mergeCell ref="A18:B21"/>
    <mergeCell ref="P23:R23"/>
    <mergeCell ref="I10:R10"/>
    <mergeCell ref="M21:O21"/>
    <mergeCell ref="A3:R3"/>
    <mergeCell ref="A13:G13"/>
    <mergeCell ref="F21:G21"/>
    <mergeCell ref="D16:R16"/>
    <mergeCell ref="A24:I27"/>
    <mergeCell ref="H21:L21"/>
    <mergeCell ref="A5:I5"/>
    <mergeCell ref="P19:R19"/>
    <mergeCell ref="F20:G20"/>
    <mergeCell ref="F18:G18"/>
    <mergeCell ref="M18:R18"/>
    <mergeCell ref="A15:G15"/>
    <mergeCell ref="I11:R11"/>
    <mergeCell ref="M23:O23"/>
    <mergeCell ref="M19:O19"/>
    <mergeCell ref="C18:D19"/>
    <mergeCell ref="J24:R27"/>
    <mergeCell ref="H19:L19"/>
    <mergeCell ref="J17:R17"/>
    <mergeCell ref="H22:R22"/>
    <mergeCell ref="H13:R13"/>
    <mergeCell ref="A16:B17"/>
    <mergeCell ref="H18:L18"/>
    <mergeCell ref="H15:R15"/>
    <mergeCell ref="H23:L23"/>
    <mergeCell ref="H14:R14"/>
    <mergeCell ref="A23:G2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548235"/>
    <outlinePr summaryBelow="1" summaryRight="1"/>
    <pageSetUpPr/>
  </sheetPr>
  <dimension ref="A1:R33"/>
  <sheetViews>
    <sheetView workbookViewId="0">
      <selection activeCell="A1" sqref="A1"/>
    </sheetView>
  </sheetViews>
  <sheetFormatPr baseColWidth="8" defaultRowHeight="15"/>
  <cols>
    <col width="2.5" customWidth="1" min="1" max="1"/>
    <col width="5" customWidth="1" min="2" max="2"/>
    <col width="5" customWidth="1" min="3" max="3"/>
    <col width="5" customWidth="1" min="4" max="4"/>
    <col width="5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5" customWidth="1" min="11" max="11"/>
    <col width="5" customWidth="1" min="12" max="12"/>
    <col width="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</cols>
  <sheetData>
    <row r="1">
      <c r="A1" s="8" t="inlineStr">
        <is>
          <t>別記様式第１号の２の３（第３１条の３関係）</t>
        </is>
      </c>
    </row>
    <row r="3">
      <c r="A3" s="9" t="inlineStr">
        <is>
          <t>消防用設備等（特殊消防用設備等）設置届出書</t>
        </is>
      </c>
      <c r="B3" s="10" t="n"/>
      <c r="C3" s="10" t="n"/>
      <c r="D3" s="10" t="n"/>
      <c r="E3" s="10" t="n"/>
      <c r="F3" s="10" t="n"/>
      <c r="G3" s="10" t="n"/>
      <c r="H3" s="10" t="n"/>
      <c r="I3" s="10" t="n"/>
      <c r="J3" s="10" t="n"/>
      <c r="K3" s="10" t="n"/>
      <c r="L3" s="10" t="n"/>
      <c r="M3" s="10" t="n"/>
      <c r="N3" s="10" t="n"/>
      <c r="O3" s="10" t="n"/>
      <c r="P3" s="10" t="n"/>
      <c r="Q3" s="10" t="n"/>
      <c r="R3" s="10" t="n"/>
    </row>
    <row r="5">
      <c r="L5" s="6" t="inlineStr">
        <is>
          <t>令和　　年　　月　　日</t>
        </is>
      </c>
      <c r="M5" s="10" t="n"/>
      <c r="N5" s="10" t="n"/>
      <c r="O5" s="10" t="n"/>
      <c r="P5" s="10" t="n"/>
      <c r="Q5" s="10" t="n"/>
      <c r="R5" s="10" t="n"/>
    </row>
    <row r="7">
      <c r="A7" s="11">
        <f>入力シート!B5</f>
        <v/>
      </c>
      <c r="B7" s="10" t="n"/>
      <c r="C7" s="10" t="n"/>
      <c r="D7" s="10" t="n"/>
      <c r="E7" s="10" t="n"/>
      <c r="F7" s="10" t="n"/>
      <c r="G7" s="10" t="n"/>
      <c r="H7" s="10" t="n"/>
      <c r="I7" s="10" t="n"/>
    </row>
    <row r="9">
      <c r="H9" s="12" t="inlineStr">
        <is>
          <t>届出者</t>
        </is>
      </c>
    </row>
    <row r="10">
      <c r="H10" s="13" t="inlineStr">
        <is>
          <t>住 所</t>
        </is>
      </c>
      <c r="I10" s="11">
        <f>入力シート!B7</f>
        <v/>
      </c>
      <c r="J10" s="10" t="n"/>
      <c r="K10" s="10" t="n"/>
      <c r="L10" s="10" t="n"/>
      <c r="M10" s="10" t="n"/>
      <c r="N10" s="10" t="n"/>
      <c r="O10" s="10" t="n"/>
      <c r="P10" s="10" t="n"/>
      <c r="Q10" s="10" t="n"/>
      <c r="R10" s="10" t="n"/>
    </row>
    <row r="11">
      <c r="H11" s="13" t="inlineStr">
        <is>
          <t>氏 名</t>
        </is>
      </c>
      <c r="I11" s="11">
        <f>入力シート!B8&amp;"  "&amp;入力シート!B19</f>
        <v/>
      </c>
      <c r="J11" s="10" t="n"/>
      <c r="K11" s="10" t="n"/>
      <c r="L11" s="10" t="n"/>
      <c r="M11" s="10" t="n"/>
      <c r="N11" s="10" t="n"/>
      <c r="O11" s="10" t="n"/>
      <c r="P11" s="10" t="n"/>
      <c r="Q11" s="10" t="n"/>
      <c r="R11" s="10" t="n"/>
    </row>
    <row r="13">
      <c r="A13" s="17" t="inlineStr">
        <is>
          <t>記</t>
        </is>
      </c>
    </row>
    <row r="14">
      <c r="A14" s="7" t="inlineStr">
        <is>
          <t>設置者</t>
        </is>
      </c>
      <c r="B14" s="2" t="n"/>
      <c r="C14" s="2" t="n"/>
      <c r="D14" s="2" t="n"/>
      <c r="E14" s="7" t="inlineStr">
        <is>
          <t>住所</t>
        </is>
      </c>
      <c r="F14" s="15" t="inlineStr">
        <is>
          <t>届出者に同じ</t>
        </is>
      </c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</row>
    <row r="15">
      <c r="A15" s="2" t="n"/>
      <c r="B15" s="2" t="n"/>
      <c r="C15" s="2" t="n"/>
      <c r="D15" s="2" t="n"/>
      <c r="E15" s="7" t="inlineStr">
        <is>
          <t>氏名</t>
        </is>
      </c>
      <c r="F15" s="15" t="inlineStr">
        <is>
          <t>届出者に同じ</t>
        </is>
      </c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</row>
    <row r="16">
      <c r="A16" s="7" t="inlineStr">
        <is>
          <t>防火対象物</t>
        </is>
      </c>
      <c r="B16" s="2" t="n"/>
      <c r="C16" s="2" t="n"/>
      <c r="D16" s="2" t="n"/>
      <c r="E16" s="7" t="inlineStr">
        <is>
          <t>所在地</t>
        </is>
      </c>
      <c r="F16" s="11">
        <f>入力シート!B9</f>
        <v/>
      </c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</row>
    <row r="17">
      <c r="A17" s="2" t="n"/>
      <c r="B17" s="2" t="n"/>
      <c r="C17" s="2" t="n"/>
      <c r="D17" s="2" t="n"/>
      <c r="E17" s="7" t="inlineStr">
        <is>
          <t>名称</t>
        </is>
      </c>
      <c r="F17" s="11">
        <f>入力シート!B10</f>
        <v/>
      </c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</row>
    <row r="18">
      <c r="A18" s="2" t="n"/>
      <c r="B18" s="2" t="n"/>
      <c r="C18" s="2" t="n"/>
      <c r="D18" s="2" t="n"/>
      <c r="E18" s="7" t="inlineStr">
        <is>
          <t>用途</t>
        </is>
      </c>
      <c r="F18" s="11">
        <f>"令別表第一（"&amp;入力シート!B12&amp;"）  "&amp;入力シート!B13</f>
        <v/>
      </c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</row>
    <row r="19">
      <c r="A19" s="2" t="n"/>
      <c r="B19" s="2" t="n"/>
      <c r="C19" s="2" t="n"/>
      <c r="D19" s="2" t="n"/>
      <c r="E19" s="7" t="inlineStr">
        <is>
          <t>構造・規模</t>
        </is>
      </c>
      <c r="F19" s="11">
        <f>入力シート!B13&amp;"  地上 "&amp;入力シート!B14&amp;"階  延べ面積 "&amp;入力シート!B16&amp;"㎡"</f>
        <v/>
      </c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</row>
    <row r="20">
      <c r="A20" s="14" t="inlineStr">
        <is>
          <t>消防用設備等の種類</t>
        </is>
      </c>
      <c r="B20" s="2" t="n"/>
      <c r="C20" s="2" t="n"/>
      <c r="D20" s="2" t="n"/>
      <c r="E20" s="11">
        <f>入力シート!B11</f>
        <v/>
      </c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</row>
    <row r="21">
      <c r="A21" s="7" t="inlineStr">
        <is>
          <t>工　事</t>
        </is>
      </c>
      <c r="B21" s="2" t="n"/>
      <c r="C21" s="2" t="n"/>
      <c r="D21" s="2" t="n"/>
      <c r="E21" s="7" t="inlineStr">
        <is>
          <t>種別</t>
        </is>
      </c>
      <c r="F21" s="15" t="inlineStr">
        <is>
          <t>新設、増設、移設、取替え、改造、その他（　）</t>
        </is>
      </c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</row>
    <row r="22">
      <c r="A22" s="2" t="n"/>
      <c r="B22" s="2" t="n"/>
      <c r="C22" s="2" t="n"/>
      <c r="D22" s="2" t="n"/>
      <c r="E22" s="14" t="inlineStr">
        <is>
          <t>施工者</t>
        </is>
      </c>
      <c r="F22" s="7" t="inlineStr">
        <is>
          <t>住所</t>
        </is>
      </c>
      <c r="G22" s="11">
        <f>入力シート!B25</f>
        <v/>
      </c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</row>
    <row r="23">
      <c r="A23" s="2" t="n"/>
      <c r="B23" s="2" t="n"/>
      <c r="C23" s="2" t="n"/>
      <c r="D23" s="2" t="n"/>
      <c r="E23" s="2" t="n"/>
      <c r="F23" s="7" t="inlineStr">
        <is>
          <t>氏名</t>
        </is>
      </c>
      <c r="G23" s="11">
        <f>入力シート!B23&amp;"　"&amp;入力シート!B24</f>
        <v/>
      </c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</row>
    <row r="24">
      <c r="A24" s="2" t="n"/>
      <c r="B24" s="2" t="n"/>
      <c r="C24" s="2" t="n"/>
      <c r="D24" s="2" t="n"/>
      <c r="E24" s="14" t="inlineStr">
        <is>
          <t>消防
設備士</t>
        </is>
      </c>
      <c r="F24" s="7" t="inlineStr">
        <is>
          <t>住所</t>
        </is>
      </c>
      <c r="G24" s="11">
        <f>VLOOKUP(入力シート!B34,入力シート!A30:G32,2,FALSE)</f>
        <v/>
      </c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</row>
    <row r="25">
      <c r="A25" s="2" t="n"/>
      <c r="B25" s="2" t="n"/>
      <c r="C25" s="2" t="n"/>
      <c r="D25" s="2" t="n"/>
      <c r="E25" s="2" t="n"/>
      <c r="F25" s="7" t="inlineStr">
        <is>
          <t>氏名</t>
        </is>
      </c>
      <c r="G25" s="11">
        <f>入力シート!B34</f>
        <v/>
      </c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</row>
    <row r="26">
      <c r="A26" s="2" t="n"/>
      <c r="B26" s="2" t="n"/>
      <c r="C26" s="2" t="n"/>
      <c r="D26" s="2" t="n"/>
      <c r="E26" s="2" t="n"/>
      <c r="F26" s="7" t="inlineStr">
        <is>
          <t>免状</t>
        </is>
      </c>
      <c r="G26" s="14" t="inlineStr">
        <is>
          <t>甲・乙</t>
        </is>
      </c>
      <c r="H26" s="14" t="inlineStr">
        <is>
          <t>種4類</t>
        </is>
      </c>
      <c r="I26" s="11">
        <f>VLOOKUP(入力シート!B34,入力シート!A30:G32,7,FALSE)&amp;"　"&amp;VLOOKUP(入力シート!B34,入力シート!A30:G32,4,FALSE)</f>
        <v/>
      </c>
      <c r="J26" s="2" t="n"/>
      <c r="K26" s="2" t="n"/>
      <c r="L26" s="11">
        <f>VLOOKUP(入力シート!B34,入力シート!A30:G32,5,FALSE)</f>
        <v/>
      </c>
      <c r="M26" s="2" t="n"/>
      <c r="N26" s="2" t="n"/>
      <c r="O26" s="11">
        <f>VLOOKUP(入力シート!B34,入力シート!A30:G32,6,FALSE)</f>
        <v/>
      </c>
      <c r="P26" s="2" t="n"/>
      <c r="Q26" s="2" t="n"/>
      <c r="R26" s="2" t="n"/>
    </row>
    <row r="27">
      <c r="A27" s="7" t="inlineStr">
        <is>
          <t>完成年月日</t>
        </is>
      </c>
      <c r="B27" s="2" t="n"/>
      <c r="C27" s="2" t="n"/>
      <c r="D27" s="2" t="n"/>
      <c r="E27" s="11">
        <f>入力シート!B87</f>
        <v/>
      </c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</row>
    <row r="28">
      <c r="A28" s="16" t="inlineStr">
        <is>
          <t>※ 受付欄</t>
        </is>
      </c>
      <c r="B28" s="2" t="n"/>
      <c r="C28" s="2" t="n"/>
      <c r="D28" s="2" t="n"/>
      <c r="E28" s="2" t="n"/>
      <c r="F28" s="2" t="n"/>
      <c r="G28" s="16" t="inlineStr">
        <is>
          <t>※ 決裁欄</t>
        </is>
      </c>
      <c r="H28" s="2" t="n"/>
      <c r="I28" s="2" t="n"/>
      <c r="J28" s="2" t="n"/>
      <c r="K28" s="2" t="n"/>
      <c r="L28" s="2" t="n"/>
      <c r="M28" s="16" t="inlineStr">
        <is>
          <t>※ 備考</t>
        </is>
      </c>
      <c r="N28" s="2" t="n"/>
      <c r="O28" s="2" t="n"/>
      <c r="P28" s="2" t="n"/>
      <c r="Q28" s="2" t="n"/>
      <c r="R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</row>
    <row r="31">
      <c r="A31" s="8" t="inlineStr">
        <is>
          <t>備考　１　この用紙の大きさは、日本産業規格Ａ４とすること。</t>
        </is>
      </c>
    </row>
    <row r="32">
      <c r="A32" s="8" t="inlineStr">
        <is>
          <t xml:space="preserve">　　　２　消防用設備等設計図書は、種類ごとにそれぞれ添付すること。</t>
        </is>
      </c>
    </row>
    <row r="33">
      <c r="A33" s="8" t="inlineStr">
        <is>
          <t xml:space="preserve">　　　３　※欄には、記入しないこと。</t>
        </is>
      </c>
    </row>
  </sheetData>
  <mergeCells count="31">
    <mergeCell ref="A7:I7"/>
    <mergeCell ref="A20:D20"/>
    <mergeCell ref="A16:D19"/>
    <mergeCell ref="L26:N26"/>
    <mergeCell ref="I10:R10"/>
    <mergeCell ref="A3:R3"/>
    <mergeCell ref="G28:L30"/>
    <mergeCell ref="F14:R14"/>
    <mergeCell ref="G24:R24"/>
    <mergeCell ref="M28:R30"/>
    <mergeCell ref="E20:R20"/>
    <mergeCell ref="I11:R11"/>
    <mergeCell ref="F19:R19"/>
    <mergeCell ref="F16:R16"/>
    <mergeCell ref="A14:D15"/>
    <mergeCell ref="G25:R25"/>
    <mergeCell ref="A21:D26"/>
    <mergeCell ref="E24:E26"/>
    <mergeCell ref="G22:R22"/>
    <mergeCell ref="F21:R21"/>
    <mergeCell ref="F15:R15"/>
    <mergeCell ref="E27:R27"/>
    <mergeCell ref="A28:F30"/>
    <mergeCell ref="O26:R26"/>
    <mergeCell ref="L5:R5"/>
    <mergeCell ref="A27:D27"/>
    <mergeCell ref="F18:R18"/>
    <mergeCell ref="F17:R17"/>
    <mergeCell ref="E22:E23"/>
    <mergeCell ref="G23:R23"/>
    <mergeCell ref="I26:K2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ED7D31"/>
    <outlinePr summaryBelow="1" summaryRight="1"/>
    <pageSetUpPr/>
  </sheetPr>
  <dimension ref="A1:M40"/>
  <sheetViews>
    <sheetView workbookViewId="0">
      <selection activeCell="A1" sqref="A1"/>
    </sheetView>
  </sheetViews>
  <sheetFormatPr baseColWidth="8" defaultRowHeight="15"/>
  <cols>
    <col width="3" customWidth="1" min="1" max="1"/>
    <col width="8" customWidth="1" min="2" max="2"/>
    <col width="8" customWidth="1" min="3" max="3"/>
    <col width="3" customWidth="1" min="4" max="4"/>
    <col width="3" customWidth="1" min="5" max="5"/>
    <col width="3" customWidth="1" min="6" max="6"/>
    <col width="3" customWidth="1" min="7" max="7"/>
    <col width="8" customWidth="1" min="8" max="8"/>
    <col width="3" customWidth="1" min="9" max="9"/>
    <col width="3" customWidth="1" min="10" max="10"/>
    <col width="3" customWidth="1" min="11" max="11"/>
    <col width="3" customWidth="1" min="12" max="12"/>
    <col width="5" customWidth="1" min="13" max="13"/>
  </cols>
  <sheetData>
    <row r="1">
      <c r="A1" s="8" t="inlineStr">
        <is>
          <t>別記様式５</t>
        </is>
      </c>
    </row>
    <row r="2">
      <c r="A2" s="18" t="inlineStr">
        <is>
          <t>自 動 火 災 報 知 設 備 の 概 要 表　　　（その１）</t>
        </is>
      </c>
      <c r="B2" s="10" t="n"/>
      <c r="C2" s="10" t="n"/>
      <c r="D2" s="10" t="n"/>
      <c r="E2" s="10" t="n"/>
      <c r="F2" s="10" t="n"/>
      <c r="G2" s="10" t="n"/>
      <c r="H2" s="10" t="n"/>
      <c r="I2" s="10" t="n"/>
      <c r="J2" s="10" t="n"/>
      <c r="K2" s="10" t="n"/>
      <c r="L2" s="10" t="n"/>
      <c r="M2" s="10" t="n"/>
    </row>
    <row r="4">
      <c r="A4" s="19" t="inlineStr">
        <is>
          <t>感
知
器</t>
        </is>
      </c>
      <c r="B4" s="19" t="inlineStr">
        <is>
          <t>機　種</t>
        </is>
      </c>
      <c r="C4" s="2" t="n"/>
      <c r="D4" s="2" t="n"/>
      <c r="E4" s="2" t="n"/>
      <c r="F4" s="2" t="n"/>
      <c r="G4" s="2" t="n"/>
      <c r="H4" s="2" t="n"/>
      <c r="I4" s="14" t="inlineStr">
        <is>
          <t>蓄積</t>
        </is>
      </c>
      <c r="J4" s="14" t="inlineStr">
        <is>
          <t>自動</t>
        </is>
      </c>
      <c r="K4" s="14" t="inlineStr">
        <is>
          <t>遠隔</t>
        </is>
      </c>
      <c r="L4" s="14" t="inlineStr">
        <is>
          <t>種別</t>
        </is>
      </c>
      <c r="M4" s="14" t="inlineStr">
        <is>
          <t>個数</t>
        </is>
      </c>
    </row>
    <row r="5">
      <c r="A5" s="2" t="n"/>
      <c r="B5" s="6" t="n"/>
      <c r="C5" s="2" t="n"/>
      <c r="D5" s="2" t="n"/>
      <c r="E5" s="2" t="n"/>
      <c r="F5" s="2" t="n"/>
      <c r="G5" s="6" t="n"/>
      <c r="H5" s="6" t="n"/>
      <c r="I5" s="6" t="n"/>
      <c r="J5" s="6" t="n"/>
      <c r="K5" s="6" t="n"/>
      <c r="L5" s="6" t="n"/>
      <c r="M5" s="6" t="n"/>
    </row>
    <row r="6">
      <c r="A6" s="2" t="n"/>
      <c r="B6" s="3" t="inlineStr">
        <is>
          <t>型式番号　感第</t>
        </is>
      </c>
      <c r="C6" s="2" t="n"/>
      <c r="D6" s="2" t="n"/>
      <c r="E6" s="6" t="n"/>
      <c r="F6" s="2" t="n"/>
      <c r="G6" s="3" t="inlineStr">
        <is>
          <t>号</t>
        </is>
      </c>
      <c r="H6" s="14" t="inlineStr">
        <is>
          <t>製造会社名</t>
        </is>
      </c>
      <c r="I6" s="11">
        <f>H5</f>
        <v/>
      </c>
      <c r="J6" s="2" t="n"/>
      <c r="K6" s="2" t="n"/>
      <c r="L6" s="2" t="n"/>
      <c r="M6" s="2" t="n"/>
    </row>
    <row r="7">
      <c r="A7" s="2" t="n"/>
      <c r="B7" s="6" t="n"/>
      <c r="C7" s="2" t="n"/>
      <c r="D7" s="2" t="n"/>
      <c r="E7" s="2" t="n"/>
      <c r="F7" s="2" t="n"/>
      <c r="G7" s="6" t="n"/>
      <c r="H7" s="6" t="n"/>
      <c r="I7" s="6" t="n"/>
      <c r="J7" s="6" t="n"/>
      <c r="K7" s="6" t="n"/>
      <c r="L7" s="6" t="n"/>
      <c r="M7" s="6" t="n"/>
    </row>
    <row r="8">
      <c r="A8" s="2" t="n"/>
      <c r="B8" s="3" t="inlineStr">
        <is>
          <t>型式番号　感第</t>
        </is>
      </c>
      <c r="C8" s="2" t="n"/>
      <c r="D8" s="2" t="n"/>
      <c r="E8" s="6" t="n"/>
      <c r="F8" s="2" t="n"/>
      <c r="G8" s="3" t="inlineStr">
        <is>
          <t>号</t>
        </is>
      </c>
      <c r="H8" s="14" t="inlineStr">
        <is>
          <t>製造会社名</t>
        </is>
      </c>
      <c r="I8" s="11">
        <f>H7</f>
        <v/>
      </c>
      <c r="J8" s="2" t="n"/>
      <c r="K8" s="2" t="n"/>
      <c r="L8" s="2" t="n"/>
      <c r="M8" s="2" t="n"/>
    </row>
    <row r="9">
      <c r="A9" s="2" t="n"/>
      <c r="B9" s="6" t="n"/>
      <c r="C9" s="2" t="n"/>
      <c r="D9" s="2" t="n"/>
      <c r="E9" s="2" t="n"/>
      <c r="F9" s="2" t="n"/>
      <c r="G9" s="6" t="n"/>
      <c r="H9" s="6" t="n"/>
      <c r="I9" s="6" t="n"/>
      <c r="J9" s="6" t="n"/>
      <c r="K9" s="6" t="n"/>
      <c r="L9" s="6" t="n"/>
      <c r="M9" s="6" t="n"/>
    </row>
    <row r="10">
      <c r="A10" s="2" t="n"/>
      <c r="B10" s="3" t="inlineStr">
        <is>
          <t>型式番号　感第</t>
        </is>
      </c>
      <c r="C10" s="2" t="n"/>
      <c r="D10" s="2" t="n"/>
      <c r="E10" s="6" t="n"/>
      <c r="F10" s="2" t="n"/>
      <c r="G10" s="3" t="inlineStr">
        <is>
          <t>号</t>
        </is>
      </c>
      <c r="H10" s="14" t="inlineStr">
        <is>
          <t>製造会社名</t>
        </is>
      </c>
      <c r="I10" s="11">
        <f>H9</f>
        <v/>
      </c>
      <c r="J10" s="2" t="n"/>
      <c r="K10" s="2" t="n"/>
      <c r="L10" s="2" t="n"/>
      <c r="M10" s="2" t="n"/>
    </row>
    <row r="11">
      <c r="A11" s="2" t="n"/>
      <c r="B11" s="6" t="n"/>
      <c r="C11" s="2" t="n"/>
      <c r="D11" s="2" t="n"/>
      <c r="E11" s="2" t="n"/>
      <c r="F11" s="2" t="n"/>
      <c r="G11" s="6" t="n"/>
      <c r="H11" s="6" t="n"/>
      <c r="I11" s="6" t="n"/>
      <c r="J11" s="6" t="n"/>
      <c r="K11" s="6" t="n"/>
      <c r="L11" s="6" t="n"/>
      <c r="M11" s="6" t="n"/>
    </row>
    <row r="12">
      <c r="A12" s="2" t="n"/>
      <c r="B12" s="3" t="inlineStr">
        <is>
          <t>型式番号　感第</t>
        </is>
      </c>
      <c r="C12" s="2" t="n"/>
      <c r="D12" s="2" t="n"/>
      <c r="E12" s="6" t="n"/>
      <c r="F12" s="2" t="n"/>
      <c r="G12" s="3" t="inlineStr">
        <is>
          <t>号</t>
        </is>
      </c>
      <c r="H12" s="14" t="inlineStr">
        <is>
          <t>製造会社名</t>
        </is>
      </c>
      <c r="I12" s="11">
        <f>H11</f>
        <v/>
      </c>
      <c r="J12" s="2" t="n"/>
      <c r="K12" s="2" t="n"/>
      <c r="L12" s="2" t="n"/>
      <c r="M12" s="2" t="n"/>
    </row>
    <row r="13">
      <c r="A13" s="2" t="n"/>
      <c r="B13" s="6" t="n"/>
      <c r="C13" s="2" t="n"/>
      <c r="D13" s="2" t="n"/>
      <c r="E13" s="2" t="n"/>
      <c r="F13" s="2" t="n"/>
      <c r="G13" s="6" t="n"/>
      <c r="H13" s="6" t="n"/>
      <c r="I13" s="6" t="n"/>
      <c r="J13" s="6" t="n"/>
      <c r="K13" s="6" t="n"/>
      <c r="L13" s="6" t="n"/>
      <c r="M13" s="6" t="n"/>
    </row>
    <row r="14">
      <c r="A14" s="2" t="n"/>
      <c r="B14" s="3" t="inlineStr">
        <is>
          <t>型式番号　感第</t>
        </is>
      </c>
      <c r="C14" s="2" t="n"/>
      <c r="D14" s="2" t="n"/>
      <c r="E14" s="6" t="n"/>
      <c r="F14" s="2" t="n"/>
      <c r="G14" s="3" t="inlineStr">
        <is>
          <t>号</t>
        </is>
      </c>
      <c r="H14" s="14" t="inlineStr">
        <is>
          <t>製造会社名</t>
        </is>
      </c>
      <c r="I14" s="11">
        <f>H13</f>
        <v/>
      </c>
      <c r="J14" s="2" t="n"/>
      <c r="K14" s="2" t="n"/>
      <c r="L14" s="2" t="n"/>
      <c r="M14" s="2" t="n"/>
    </row>
    <row r="15">
      <c r="A15" s="2" t="n"/>
      <c r="B15" s="6" t="n"/>
      <c r="C15" s="2" t="n"/>
      <c r="D15" s="2" t="n"/>
      <c r="E15" s="2" t="n"/>
      <c r="F15" s="2" t="n"/>
      <c r="G15" s="6" t="n"/>
      <c r="H15" s="6" t="n"/>
      <c r="I15" s="6" t="n"/>
      <c r="J15" s="6" t="n"/>
      <c r="K15" s="6" t="n"/>
      <c r="L15" s="6" t="n"/>
      <c r="M15" s="6" t="n"/>
    </row>
    <row r="16">
      <c r="A16" s="2" t="n"/>
      <c r="B16" s="3" t="inlineStr">
        <is>
          <t>型式番号　感第</t>
        </is>
      </c>
      <c r="C16" s="2" t="n"/>
      <c r="D16" s="2" t="n"/>
      <c r="E16" s="6" t="n"/>
      <c r="F16" s="2" t="n"/>
      <c r="G16" s="3" t="inlineStr">
        <is>
          <t>号</t>
        </is>
      </c>
      <c r="H16" s="14" t="inlineStr">
        <is>
          <t>製造会社名</t>
        </is>
      </c>
      <c r="I16" s="11">
        <f>H15</f>
        <v/>
      </c>
      <c r="J16" s="2" t="n"/>
      <c r="K16" s="2" t="n"/>
      <c r="L16" s="2" t="n"/>
      <c r="M16" s="2" t="n"/>
    </row>
    <row r="17">
      <c r="A17" s="2" t="n"/>
      <c r="B17" s="6" t="n"/>
      <c r="C17" s="2" t="n"/>
      <c r="D17" s="2" t="n"/>
      <c r="E17" s="2" t="n"/>
      <c r="F17" s="2" t="n"/>
      <c r="G17" s="6" t="n"/>
      <c r="H17" s="6" t="n"/>
      <c r="I17" s="6" t="n"/>
      <c r="J17" s="6" t="n"/>
      <c r="K17" s="6" t="n"/>
      <c r="L17" s="6" t="n"/>
      <c r="M17" s="6" t="n"/>
    </row>
    <row r="18">
      <c r="A18" s="2" t="n"/>
      <c r="B18" s="3" t="inlineStr">
        <is>
          <t>型式番号　感第</t>
        </is>
      </c>
      <c r="C18" s="2" t="n"/>
      <c r="D18" s="2" t="n"/>
      <c r="E18" s="6" t="n"/>
      <c r="F18" s="2" t="n"/>
      <c r="G18" s="3" t="inlineStr">
        <is>
          <t>号</t>
        </is>
      </c>
      <c r="H18" s="14" t="inlineStr">
        <is>
          <t>製造会社名</t>
        </is>
      </c>
      <c r="I18" s="11">
        <f>H17</f>
        <v/>
      </c>
      <c r="J18" s="2" t="n"/>
      <c r="K18" s="2" t="n"/>
      <c r="L18" s="2" t="n"/>
      <c r="M18" s="2" t="n"/>
    </row>
    <row r="19">
      <c r="A19" s="2" t="n"/>
      <c r="B19" s="6" t="n"/>
      <c r="C19" s="2" t="n"/>
      <c r="D19" s="2" t="n"/>
      <c r="E19" s="2" t="n"/>
      <c r="F19" s="2" t="n"/>
      <c r="G19" s="6" t="n"/>
      <c r="H19" s="6" t="n"/>
      <c r="I19" s="6" t="n"/>
      <c r="J19" s="6" t="n"/>
      <c r="K19" s="6" t="n"/>
      <c r="L19" s="6" t="n"/>
      <c r="M19" s="6" t="n"/>
    </row>
    <row r="20">
      <c r="A20" s="2" t="n"/>
      <c r="B20" s="3" t="inlineStr">
        <is>
          <t>型式番号　感第</t>
        </is>
      </c>
      <c r="C20" s="2" t="n"/>
      <c r="D20" s="2" t="n"/>
      <c r="E20" s="6" t="n"/>
      <c r="F20" s="2" t="n"/>
      <c r="G20" s="3" t="inlineStr">
        <is>
          <t>号</t>
        </is>
      </c>
      <c r="H20" s="14" t="inlineStr">
        <is>
          <t>製造会社名</t>
        </is>
      </c>
      <c r="I20" s="11">
        <f>H19</f>
        <v/>
      </c>
      <c r="J20" s="2" t="n"/>
      <c r="K20" s="2" t="n"/>
      <c r="L20" s="2" t="n"/>
      <c r="M20" s="2" t="n"/>
    </row>
    <row r="21">
      <c r="A21" s="2" t="n"/>
      <c r="B21" s="6" t="n"/>
      <c r="C21" s="2" t="n"/>
      <c r="D21" s="2" t="n"/>
      <c r="E21" s="2" t="n"/>
      <c r="F21" s="2" t="n"/>
      <c r="G21" s="6" t="n"/>
      <c r="H21" s="6" t="n"/>
      <c r="I21" s="6" t="n"/>
      <c r="J21" s="6" t="n"/>
      <c r="K21" s="6" t="n"/>
      <c r="L21" s="6" t="n"/>
      <c r="M21" s="6" t="n"/>
    </row>
    <row r="22">
      <c r="B22" s="3" t="inlineStr">
        <is>
          <t>型式番号　感第</t>
        </is>
      </c>
      <c r="C22" s="2" t="n"/>
      <c r="D22" s="2" t="n"/>
      <c r="E22" s="6" t="n"/>
      <c r="F22" s="2" t="n"/>
      <c r="G22" s="3" t="inlineStr">
        <is>
          <t>号</t>
        </is>
      </c>
      <c r="H22" s="14" t="inlineStr">
        <is>
          <t>製造会社名</t>
        </is>
      </c>
      <c r="I22" s="11">
        <f>H21</f>
        <v/>
      </c>
      <c r="J22" s="2" t="n"/>
      <c r="K22" s="2" t="n"/>
      <c r="L22" s="2" t="n"/>
      <c r="M22" s="2" t="n"/>
    </row>
    <row r="23">
      <c r="B23" s="6" t="n"/>
      <c r="C23" s="2" t="n"/>
      <c r="D23" s="2" t="n"/>
      <c r="E23" s="2" t="n"/>
      <c r="F23" s="2" t="n"/>
      <c r="G23" s="6" t="n"/>
      <c r="H23" s="6" t="n"/>
      <c r="I23" s="6" t="n"/>
      <c r="J23" s="6" t="n"/>
      <c r="K23" s="6" t="n"/>
      <c r="L23" s="6" t="n"/>
      <c r="M23" s="6" t="n"/>
    </row>
    <row r="24">
      <c r="B24" s="3" t="inlineStr">
        <is>
          <t>型式番号　感第</t>
        </is>
      </c>
      <c r="C24" s="2" t="n"/>
      <c r="D24" s="2" t="n"/>
      <c r="E24" s="6" t="n"/>
      <c r="F24" s="2" t="n"/>
      <c r="G24" s="3" t="inlineStr">
        <is>
          <t>号</t>
        </is>
      </c>
      <c r="H24" s="14" t="inlineStr">
        <is>
          <t>製造会社名</t>
        </is>
      </c>
      <c r="I24" s="11">
        <f>H23</f>
        <v/>
      </c>
      <c r="J24" s="2" t="n"/>
      <c r="K24" s="2" t="n"/>
      <c r="L24" s="2" t="n"/>
      <c r="M24" s="2" t="n"/>
    </row>
    <row r="25">
      <c r="A25" s="14" t="inlineStr">
        <is>
          <t>発信機</t>
        </is>
      </c>
      <c r="B25" s="14" t="inlineStr">
        <is>
          <t>屋内型</t>
        </is>
      </c>
      <c r="C25" s="11">
        <f>入力シート!B63&amp;"型 "&amp;入力シート!B64&amp;"級"</f>
        <v/>
      </c>
      <c r="D25" s="2" t="n"/>
      <c r="E25" s="2" t="n"/>
      <c r="F25" s="2" t="n"/>
      <c r="G25" s="3" t="n"/>
      <c r="H25" s="2" t="n"/>
      <c r="I25" s="2" t="n"/>
      <c r="J25" s="2" t="n"/>
      <c r="K25" s="15" t="n"/>
      <c r="L25" s="2" t="n"/>
      <c r="M25" s="2" t="n"/>
    </row>
    <row r="26">
      <c r="A26" s="2" t="n"/>
      <c r="B26" s="14" t="inlineStr">
        <is>
          <t>屋外型</t>
        </is>
      </c>
      <c r="C26" s="11">
        <f>入力シート!B63&amp;"型 "&amp;入力シート!B64&amp;"級 "&amp;入力シート!B65&amp;"個"</f>
        <v/>
      </c>
      <c r="D26" s="2" t="n"/>
      <c r="E26" s="2" t="n"/>
      <c r="F26" s="2" t="n"/>
      <c r="G26" s="11">
        <f>"型式番号　発第"&amp;入力シート!B66&amp;"号"</f>
        <v/>
      </c>
      <c r="H26" s="2" t="n"/>
      <c r="I26" s="2" t="n"/>
      <c r="J26" s="2" t="n"/>
      <c r="K26" s="11">
        <f>入力シート!B67</f>
        <v/>
      </c>
      <c r="L26" s="2" t="n"/>
      <c r="M26" s="2" t="n"/>
    </row>
    <row r="27">
      <c r="A27" s="14" t="inlineStr">
        <is>
          <t>表示灯</t>
        </is>
      </c>
      <c r="B27" s="11">
        <f>"DC "&amp;入力シート!B68&amp;"V  "&amp;入力シート!B69&amp;"mA  "&amp;入力シート!B70&amp;"個"</f>
        <v/>
      </c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</row>
    <row r="28">
      <c r="A28" s="14" t="inlineStr">
        <is>
          <t>中継器</t>
        </is>
      </c>
      <c r="B28" s="14" t="inlineStr">
        <is>
          <t>種　別</t>
        </is>
      </c>
      <c r="C28" s="2" t="n"/>
      <c r="D28" s="2" t="n"/>
      <c r="E28" s="2" t="n"/>
      <c r="F28" s="2" t="n"/>
      <c r="G28" s="14" t="inlineStr">
        <is>
          <t>回線数</t>
        </is>
      </c>
      <c r="H28" s="14" t="inlineStr">
        <is>
          <t>電源供給方式</t>
        </is>
      </c>
      <c r="I28" s="2" t="n"/>
      <c r="J28" s="2" t="n"/>
      <c r="K28" s="2" t="n"/>
      <c r="L28" s="2" t="n"/>
      <c r="M28" s="14" t="inlineStr">
        <is>
          <t>設置台数</t>
        </is>
      </c>
    </row>
    <row r="29">
      <c r="A29" s="2" t="n"/>
      <c r="B29" s="6" t="inlineStr">
        <is>
          <t>自動･遠隔･アナログ･その他（型式番号　中第　　号）</t>
        </is>
      </c>
      <c r="C29" s="2" t="n"/>
      <c r="D29" s="2" t="n"/>
      <c r="E29" s="2" t="n"/>
      <c r="F29" s="2" t="n"/>
      <c r="G29" s="6" t="n"/>
      <c r="H29" s="3" t="inlineStr">
        <is>
          <t>専用（予備電源　Ｖ　AH）･受信機･その他</t>
        </is>
      </c>
      <c r="I29" s="2" t="n"/>
      <c r="J29" s="2" t="n"/>
      <c r="K29" s="2" t="n"/>
      <c r="L29" s="2" t="n"/>
      <c r="M29" s="6" t="n"/>
    </row>
    <row r="30">
      <c r="A30" s="2" t="n"/>
      <c r="B30" s="6" t="inlineStr">
        <is>
          <t>自動･遠隔･アナログ･その他（型式番号　中第　　号）</t>
        </is>
      </c>
      <c r="C30" s="2" t="n"/>
      <c r="D30" s="2" t="n"/>
      <c r="E30" s="2" t="n"/>
      <c r="F30" s="2" t="n"/>
      <c r="G30" s="6" t="n"/>
      <c r="H30" s="3" t="inlineStr">
        <is>
          <t>専用（予備電源　Ｖ　AH）･受信機･その他</t>
        </is>
      </c>
      <c r="I30" s="2" t="n"/>
      <c r="J30" s="2" t="n"/>
      <c r="K30" s="2" t="n"/>
      <c r="L30" s="2" t="n"/>
      <c r="M30" s="6" t="n"/>
    </row>
    <row r="31">
      <c r="A31" s="2" t="n"/>
      <c r="B31" s="6" t="inlineStr">
        <is>
          <t>自動･遠隔･アナログ･その他（型式番号　中第　　号）</t>
        </is>
      </c>
      <c r="C31" s="2" t="n"/>
      <c r="D31" s="2" t="n"/>
      <c r="E31" s="2" t="n"/>
      <c r="F31" s="2" t="n"/>
      <c r="G31" s="6" t="n"/>
      <c r="H31" s="3" t="inlineStr">
        <is>
          <t>専用（予備電源　Ｖ　AH）･受信機･その他</t>
        </is>
      </c>
      <c r="I31" s="2" t="n"/>
      <c r="J31" s="2" t="n"/>
      <c r="K31" s="2" t="n"/>
      <c r="L31" s="2" t="n"/>
      <c r="M31" s="6" t="n"/>
    </row>
    <row r="32">
      <c r="A32" s="2" t="n"/>
      <c r="B32" s="6" t="inlineStr">
        <is>
          <t>自動･遠隔･アナログ･その他（型式番号　中第　　号）</t>
        </is>
      </c>
      <c r="C32" s="2" t="n"/>
      <c r="D32" s="2" t="n"/>
      <c r="E32" s="2" t="n"/>
      <c r="F32" s="2" t="n"/>
      <c r="G32" s="6" t="n"/>
      <c r="H32" s="3" t="inlineStr">
        <is>
          <t>専用（予備電源　Ｖ　AH）･受信機･その他</t>
        </is>
      </c>
      <c r="I32" s="2" t="n"/>
      <c r="J32" s="2" t="n"/>
      <c r="K32" s="2" t="n"/>
      <c r="L32" s="2" t="n"/>
      <c r="M32" s="6" t="n"/>
    </row>
    <row r="33">
      <c r="A33" s="2" t="n"/>
      <c r="B33" s="6" t="inlineStr">
        <is>
          <t>自動･遠隔･アナログ･その他（型式番号　中第　　号）</t>
        </is>
      </c>
      <c r="C33" s="2" t="n"/>
      <c r="D33" s="2" t="n"/>
      <c r="E33" s="2" t="n"/>
      <c r="F33" s="2" t="n"/>
      <c r="G33" s="6" t="n"/>
      <c r="H33" s="3" t="inlineStr">
        <is>
          <t>専用（予備電源　Ｖ　AH）･受信機･その他</t>
        </is>
      </c>
      <c r="I33" s="2" t="n"/>
      <c r="J33" s="2" t="n"/>
      <c r="K33" s="2" t="n"/>
      <c r="L33" s="2" t="n"/>
      <c r="M33" s="6" t="n"/>
    </row>
    <row r="34">
      <c r="A34" s="2" t="n"/>
      <c r="B34" s="6" t="inlineStr">
        <is>
          <t>自動･遠隔･アナログ･その他（型式番号　中第　　号）</t>
        </is>
      </c>
      <c r="C34" s="2" t="n"/>
      <c r="D34" s="2" t="n"/>
      <c r="E34" s="2" t="n"/>
      <c r="F34" s="2" t="n"/>
      <c r="G34" s="6" t="n"/>
      <c r="H34" s="3" t="inlineStr">
        <is>
          <t>専用（予備電源　Ｖ　AH）･受信機･その他</t>
        </is>
      </c>
      <c r="I34" s="2" t="n"/>
      <c r="J34" s="2" t="n"/>
      <c r="K34" s="2" t="n"/>
      <c r="L34" s="2" t="n"/>
      <c r="M34" s="6" t="n"/>
    </row>
    <row r="35">
      <c r="A35" s="2" t="n"/>
      <c r="B35" s="6" t="inlineStr">
        <is>
          <t>自動･遠隔･アナログ･その他（型式番号　中第　　号）</t>
        </is>
      </c>
      <c r="C35" s="2" t="n"/>
      <c r="D35" s="2" t="n"/>
      <c r="E35" s="2" t="n"/>
      <c r="F35" s="2" t="n"/>
      <c r="G35" s="6" t="n"/>
      <c r="H35" s="3" t="inlineStr">
        <is>
          <t>専用（予備電源　Ｖ　AH）･受信機･その他</t>
        </is>
      </c>
      <c r="I35" s="2" t="n"/>
      <c r="J35" s="2" t="n"/>
      <c r="K35" s="2" t="n"/>
      <c r="L35" s="2" t="n"/>
      <c r="M35" s="6" t="n"/>
    </row>
    <row r="36">
      <c r="A36" s="2" t="n"/>
      <c r="B36" s="6" t="inlineStr">
        <is>
          <t>自動･遠隔･アナログ･その他（型式番号　中第　　号）</t>
        </is>
      </c>
      <c r="C36" s="2" t="n"/>
      <c r="D36" s="2" t="n"/>
      <c r="E36" s="2" t="n"/>
      <c r="F36" s="2" t="n"/>
      <c r="G36" s="6" t="n"/>
      <c r="H36" s="3" t="inlineStr">
        <is>
          <t>専用（予備電源　Ｖ　AH）･受信機･その他</t>
        </is>
      </c>
      <c r="I36" s="2" t="n"/>
      <c r="J36" s="2" t="n"/>
      <c r="K36" s="2" t="n"/>
      <c r="L36" s="2" t="n"/>
      <c r="M36" s="6" t="n"/>
    </row>
    <row r="37">
      <c r="A37" s="2" t="n"/>
      <c r="B37" s="6" t="inlineStr">
        <is>
          <t>自動･遠隔･アナログ･その他（型式番号　中第　　号）</t>
        </is>
      </c>
      <c r="C37" s="2" t="n"/>
      <c r="D37" s="2" t="n"/>
      <c r="E37" s="2" t="n"/>
      <c r="F37" s="2" t="n"/>
      <c r="G37" s="6" t="n"/>
      <c r="H37" s="3" t="inlineStr">
        <is>
          <t>専用（予備電源　Ｖ　AH）･受信機･その他</t>
        </is>
      </c>
      <c r="I37" s="2" t="n"/>
      <c r="J37" s="2" t="n"/>
      <c r="K37" s="2" t="n"/>
      <c r="L37" s="2" t="n"/>
      <c r="M37" s="6" t="n"/>
    </row>
    <row r="38">
      <c r="A38" s="2" t="n"/>
      <c r="B38" s="6" t="inlineStr">
        <is>
          <t>自動･遠隔･アナログ･その他（型式番号　中第　　号）</t>
        </is>
      </c>
      <c r="C38" s="2" t="n"/>
      <c r="D38" s="2" t="n"/>
      <c r="E38" s="2" t="n"/>
      <c r="F38" s="2" t="n"/>
      <c r="G38" s="6" t="n"/>
      <c r="H38" s="3" t="inlineStr">
        <is>
          <t>専用（予備電源　Ｖ　AH）･受信機･その他</t>
        </is>
      </c>
      <c r="I38" s="2" t="n"/>
      <c r="J38" s="2" t="n"/>
      <c r="K38" s="2" t="n"/>
      <c r="L38" s="2" t="n"/>
      <c r="M38" s="6" t="n"/>
    </row>
    <row r="39">
      <c r="A39" s="8" t="inlineStr">
        <is>
          <t>備考　１　この用紙の大きさは、日本産業規格Ａ４とすること。</t>
        </is>
      </c>
    </row>
    <row r="40">
      <c r="A40" s="8" t="inlineStr">
        <is>
          <t xml:space="preserve">　　　２　選択肢の併記してある欄は、該当事項を○印で囲むこと。</t>
        </is>
      </c>
    </row>
  </sheetData>
  <mergeCells count="74">
    <mergeCell ref="E12:F12"/>
    <mergeCell ref="H30:L30"/>
    <mergeCell ref="B7:F7"/>
    <mergeCell ref="B14:D14"/>
    <mergeCell ref="G26:J26"/>
    <mergeCell ref="H29:L29"/>
    <mergeCell ref="E24:F24"/>
    <mergeCell ref="I6:M6"/>
    <mergeCell ref="H35:L35"/>
    <mergeCell ref="B8:D8"/>
    <mergeCell ref="H38:L38"/>
    <mergeCell ref="B31:F31"/>
    <mergeCell ref="E14:F14"/>
    <mergeCell ref="G25:J25"/>
    <mergeCell ref="H31:L31"/>
    <mergeCell ref="E8:F8"/>
    <mergeCell ref="H34:L34"/>
    <mergeCell ref="B10:D10"/>
    <mergeCell ref="B21:F21"/>
    <mergeCell ref="E20:F20"/>
    <mergeCell ref="A4:A21"/>
    <mergeCell ref="E10:F10"/>
    <mergeCell ref="B4:H4"/>
    <mergeCell ref="B11:F11"/>
    <mergeCell ref="I16:M16"/>
    <mergeCell ref="A25:A26"/>
    <mergeCell ref="I22:M22"/>
    <mergeCell ref="B23:F23"/>
    <mergeCell ref="H36:L36"/>
    <mergeCell ref="B6:D6"/>
    <mergeCell ref="B17:F17"/>
    <mergeCell ref="B13:F13"/>
    <mergeCell ref="B20:D20"/>
    <mergeCell ref="B24:D24"/>
    <mergeCell ref="I12:M12"/>
    <mergeCell ref="I18:M18"/>
    <mergeCell ref="B29:F29"/>
    <mergeCell ref="E6:F6"/>
    <mergeCell ref="B38:F38"/>
    <mergeCell ref="B32:F32"/>
    <mergeCell ref="B34:F34"/>
    <mergeCell ref="C26:F26"/>
    <mergeCell ref="B28:F28"/>
    <mergeCell ref="H32:L32"/>
    <mergeCell ref="B19:F19"/>
    <mergeCell ref="I24:M24"/>
    <mergeCell ref="B37:F37"/>
    <mergeCell ref="I14:M14"/>
    <mergeCell ref="H28:L28"/>
    <mergeCell ref="C25:F25"/>
    <mergeCell ref="H37:L37"/>
    <mergeCell ref="I8:M8"/>
    <mergeCell ref="B9:F9"/>
    <mergeCell ref="B16:D16"/>
    <mergeCell ref="K25:M25"/>
    <mergeCell ref="B30:F30"/>
    <mergeCell ref="A28:A38"/>
    <mergeCell ref="E16:F16"/>
    <mergeCell ref="B15:F15"/>
    <mergeCell ref="I20:M20"/>
    <mergeCell ref="B22:D22"/>
    <mergeCell ref="B33:F33"/>
    <mergeCell ref="B5:F5"/>
    <mergeCell ref="I10:M10"/>
    <mergeCell ref="B18:D18"/>
    <mergeCell ref="H33:L33"/>
    <mergeCell ref="E22:F22"/>
    <mergeCell ref="B27:M27"/>
    <mergeCell ref="K26:M26"/>
    <mergeCell ref="B12:D12"/>
    <mergeCell ref="B36:F36"/>
    <mergeCell ref="E18:F18"/>
    <mergeCell ref="A2:M2"/>
    <mergeCell ref="B35:F35"/>
  </mergeCells>
  <dataValidations count="4">
    <dataValidation sqref="B5 B7 B9 B11 B13 B15 B17 B19 B21 B23" showDropDown="0" showInputMessage="0" showErrorMessage="0" allowBlank="1" type="list">
      <formula1>"差動式,定温式,光電式,補償式,熱アナログ式,光電アナログ式,イオン化式"</formula1>
    </dataValidation>
    <dataValidation sqref="L5 L7 L9 L11 L13 L15 L17 L19 L21 L23" showDropDown="0" showInputMessage="0" showErrorMessage="0" allowBlank="1" type="list">
      <formula1>"特種,1種,2種,3種"</formula1>
    </dataValidation>
    <dataValidation sqref="I5 I7 I9 I11 I13 I15 I17 I19 I21 I23 J5 J7 J9 J11 J13 J15 J17 J19 J21 J23 K5 K7 K9 K11 K13 K15 K17 K19 K21 K23" showDropDown="0" showInputMessage="0" showErrorMessage="0" allowBlank="1" type="list">
      <formula1>"〇,"</formula1>
    </dataValidation>
    <dataValidation sqref="H5 H7 H9 H11 H13 H15 H17 H19 H21 H23" showDropDown="0" showInputMessage="0" showErrorMessage="0" allowBlank="1" type="list">
      <formula1>"パナソニック㈱,ニッタン(株),能美防災㈱,ホーチキ㈱"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ED7D31"/>
    <outlinePr summaryBelow="1" summaryRight="1"/>
    <pageSetUpPr/>
  </sheetPr>
  <dimension ref="A1:M40"/>
  <sheetViews>
    <sheetView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6" customWidth="1" min="3" max="3"/>
    <col width="3" customWidth="1" min="4" max="4"/>
    <col width="5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5" customWidth="1" min="11" max="11"/>
    <col width="5" customWidth="1" min="12" max="12"/>
    <col width="5" customWidth="1" min="13" max="13"/>
  </cols>
  <sheetData>
    <row r="1">
      <c r="A1" s="8" t="inlineStr">
        <is>
          <t>別記様式５</t>
        </is>
      </c>
    </row>
    <row r="2">
      <c r="A2" s="18" t="inlineStr">
        <is>
          <t>自 動 火 災 報 知 設 備 の 概 要 表　　　（その２）</t>
        </is>
      </c>
      <c r="B2" s="10" t="n"/>
      <c r="C2" s="10" t="n"/>
      <c r="D2" s="10" t="n"/>
      <c r="E2" s="10" t="n"/>
      <c r="F2" s="10" t="n"/>
      <c r="G2" s="10" t="n"/>
      <c r="H2" s="10" t="n"/>
      <c r="I2" s="10" t="n"/>
      <c r="J2" s="10" t="n"/>
      <c r="K2" s="10" t="n"/>
      <c r="L2" s="10" t="n"/>
      <c r="M2" s="10" t="n"/>
    </row>
    <row r="4">
      <c r="A4" s="14" t="inlineStr">
        <is>
          <t>受信機</t>
        </is>
      </c>
      <c r="B4" s="3" t="inlineStr">
        <is>
          <t>蓄積式・二信号式・アナログ式・自動試験機能付き・遠隔試験機能付き・その他（　　）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</row>
    <row r="5">
      <c r="A5" s="2" t="n"/>
      <c r="B5" s="11">
        <f>"Ｐ・GP型"&amp;入力シート!B39&amp;"級  "&amp;入力シート!B40&amp;"回線  Ｒ・GR型  自火報点数　点  予備点数　点"</f>
        <v/>
      </c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</row>
    <row r="6">
      <c r="A6" s="2" t="n"/>
      <c r="B6" s="11">
        <f>"予備電源（DC "&amp;入力シート!B41&amp;"V  "&amp;入力シート!B42&amp;"AH）"</f>
        <v/>
      </c>
      <c r="C6" s="2" t="n"/>
      <c r="D6" s="2" t="n"/>
      <c r="E6" s="2" t="n"/>
      <c r="F6" s="14" t="inlineStr">
        <is>
          <t>設置場所</t>
        </is>
      </c>
      <c r="G6" s="11">
        <f>入力シート!B43</f>
        <v/>
      </c>
      <c r="H6" s="2" t="n"/>
      <c r="I6" s="2" t="n"/>
      <c r="J6" s="2" t="n"/>
      <c r="K6" s="2" t="n"/>
      <c r="L6" s="2" t="n"/>
      <c r="M6" s="2" t="n"/>
    </row>
    <row r="7">
      <c r="A7" s="2" t="n"/>
      <c r="B7" s="11">
        <f>"型式番号　受第"&amp;入力シート!B45&amp;"号"</f>
        <v/>
      </c>
      <c r="C7" s="2" t="n"/>
      <c r="D7" s="2" t="n"/>
      <c r="E7" s="2" t="n"/>
      <c r="F7" s="14" t="inlineStr">
        <is>
          <t>製造会社名</t>
        </is>
      </c>
      <c r="G7" s="11">
        <f>入力シート!B44</f>
        <v/>
      </c>
      <c r="H7" s="2" t="n"/>
      <c r="I7" s="2" t="n"/>
      <c r="J7" s="2" t="n"/>
      <c r="K7" s="2" t="n"/>
      <c r="L7" s="2" t="n"/>
      <c r="M7" s="2" t="n"/>
    </row>
    <row r="8">
      <c r="A8" s="14" t="inlineStr">
        <is>
          <t>表示器</t>
        </is>
      </c>
      <c r="B8" s="3" t="inlineStr">
        <is>
          <t xml:space="preserve">　／　　回線　　台　自火報点数　点　その他点数　点　予備点数　点</t>
        </is>
      </c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</row>
    <row r="9">
      <c r="A9" s="2" t="n"/>
      <c r="B9" s="3" t="inlineStr">
        <is>
          <t xml:space="preserve">　／　　回線　　台　自火報点数　点　その他点数　点　予備点数　点</t>
        </is>
      </c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</row>
    <row r="10">
      <c r="A10" s="14" t="inlineStr">
        <is>
          <t>電源</t>
        </is>
      </c>
      <c r="B10" s="14" t="inlineStr">
        <is>
          <t>常用電源</t>
        </is>
      </c>
      <c r="C10" s="3" t="inlineStr">
        <is>
          <t>単相・三相　AC　100Ｖ　非常電源専用受電設備回路・電灯回路・動力回路</t>
        </is>
      </c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</row>
    <row r="11">
      <c r="A11" s="2" t="n"/>
      <c r="B11" s="2" t="n"/>
      <c r="C11" s="3" t="inlineStr">
        <is>
          <t>DC　　Ｖ　　AH　充電方式（トリクル・浮動）　使用別（専用・共用）</t>
        </is>
      </c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</row>
    <row r="12">
      <c r="A12" s="2" t="n"/>
      <c r="B12" s="14" t="inlineStr">
        <is>
          <t>非常電源</t>
        </is>
      </c>
      <c r="C12" s="3" t="inlineStr">
        <is>
          <t>非常電源専用受電設備　単相・三相　AC　　Ｖ</t>
        </is>
      </c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</row>
    <row r="13">
      <c r="A13" s="2" t="n"/>
      <c r="B13" s="2" t="n"/>
      <c r="C13" s="3" t="inlineStr">
        <is>
          <t>蓄電池設備　DC　Ｖ　AH　充電方式（トリクル・浮動）</t>
        </is>
      </c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</row>
    <row r="14">
      <c r="A14" s="14" t="inlineStr">
        <is>
          <t>音響装置</t>
        </is>
      </c>
      <c r="B14" s="14" t="inlineStr">
        <is>
          <t>主音響装置
（内蔵されている
ものは除く）</t>
        </is>
      </c>
      <c r="C14" s="2" t="n"/>
      <c r="D14" s="3" t="inlineStr">
        <is>
          <t>ベル・サイレン・電子ブザー・音声合成・その他（　　）</t>
        </is>
      </c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</row>
    <row r="15">
      <c r="A15" s="2" t="n"/>
      <c r="B15" s="2" t="n"/>
      <c r="C15" s="2" t="n"/>
      <c r="D15" s="3" t="n"/>
      <c r="E15" s="2" t="n"/>
      <c r="F15" s="2" t="n"/>
      <c r="G15" s="3" t="n"/>
      <c r="H15" s="2" t="n"/>
      <c r="I15" s="2" t="n"/>
      <c r="J15" s="2" t="n"/>
      <c r="K15" s="2" t="n"/>
      <c r="L15" s="2" t="n"/>
      <c r="M15" s="2" t="n"/>
    </row>
    <row r="16">
      <c r="A16" s="2" t="n"/>
      <c r="B16" s="2" t="n"/>
      <c r="C16" s="2" t="n"/>
      <c r="D16" s="3" t="n"/>
      <c r="E16" s="2" t="n"/>
      <c r="F16" s="2" t="n"/>
      <c r="G16" s="3" t="n"/>
      <c r="H16" s="2" t="n"/>
      <c r="I16" s="2" t="n"/>
      <c r="J16" s="2" t="n"/>
      <c r="K16" s="2" t="n"/>
      <c r="L16" s="2" t="n"/>
      <c r="M16" s="2" t="n"/>
    </row>
    <row r="17">
      <c r="A17" s="2" t="n"/>
      <c r="B17" s="14" t="inlineStr">
        <is>
          <t>地区音響装置</t>
        </is>
      </c>
      <c r="C17" s="2" t="n"/>
      <c r="D17" s="11">
        <f>"型式番号（認評音第"&amp;入力シート!B56&amp;"号）"</f>
        <v/>
      </c>
      <c r="E17" s="2" t="n"/>
      <c r="F17" s="2" t="n"/>
      <c r="G17" s="14" t="inlineStr">
        <is>
          <t>製造会社名</t>
        </is>
      </c>
      <c r="H17" s="11">
        <f>入力シート!B57</f>
        <v/>
      </c>
      <c r="I17" s="2" t="n"/>
      <c r="J17" s="2" t="n"/>
      <c r="K17" s="2" t="n"/>
      <c r="L17" s="2" t="n"/>
      <c r="M17" s="2" t="n"/>
    </row>
    <row r="18">
      <c r="A18" s="2" t="n"/>
      <c r="B18" s="14" t="inlineStr"/>
      <c r="C18" s="2" t="n"/>
      <c r="D18" s="3" t="inlineStr">
        <is>
          <t>ベル・サイレン・電子ブザー・スピーカー・その他</t>
        </is>
      </c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</row>
    <row r="19">
      <c r="A19" s="2" t="n"/>
      <c r="B19" s="14" t="inlineStr"/>
      <c r="C19" s="2" t="n"/>
      <c r="D19" s="11">
        <f>"鐘径 "&amp;入力シート!B62&amp;"mm"</f>
        <v/>
      </c>
      <c r="E19" s="2" t="n"/>
      <c r="F19" s="2" t="n"/>
      <c r="G19" s="11">
        <f>"定格DC "&amp;入力シート!B58&amp;"V  "&amp;入力シート!B59&amp;"mA  "&amp;入力シート!B60&amp;"個  "&amp;入力シート!B61&amp;"dB"</f>
        <v/>
      </c>
      <c r="H19" s="2" t="n"/>
      <c r="I19" s="2" t="n"/>
      <c r="J19" s="2" t="n"/>
      <c r="K19" s="2" t="n"/>
      <c r="L19" s="2" t="n"/>
      <c r="M19" s="2" t="n"/>
    </row>
    <row r="20">
      <c r="A20" s="14" t="inlineStr"/>
      <c r="B20" s="14" t="inlineStr">
        <is>
          <t>音声切替装置</t>
        </is>
      </c>
      <c r="C20" s="2" t="n"/>
      <c r="D20" s="3" t="inlineStr">
        <is>
          <t>型式番号（　　号）DC　Ｖ</t>
        </is>
      </c>
      <c r="E20" s="2" t="n"/>
      <c r="F20" s="2" t="n"/>
      <c r="G20" s="2" t="n"/>
      <c r="H20" s="14" t="inlineStr">
        <is>
          <t>製造会社名</t>
        </is>
      </c>
      <c r="I20" s="3" t="n"/>
      <c r="J20" s="2" t="n"/>
      <c r="K20" s="2" t="n"/>
      <c r="L20" s="2" t="n"/>
      <c r="M20" s="2" t="n"/>
    </row>
    <row r="21">
      <c r="A21" s="2" t="n"/>
      <c r="B21" s="14" t="inlineStr"/>
      <c r="C21" s="2" t="n"/>
      <c r="D21" s="14" t="inlineStr">
        <is>
          <t>常用電源</t>
        </is>
      </c>
      <c r="E21" s="3" t="inlineStr">
        <is>
          <t>単相　AC　Ｖ　非常電源専用受電設備回路・電灯回路</t>
        </is>
      </c>
      <c r="F21" s="2" t="n"/>
      <c r="G21" s="2" t="n"/>
      <c r="H21" s="2" t="n"/>
      <c r="I21" s="2" t="n"/>
      <c r="J21" s="2" t="n"/>
      <c r="K21" s="2" t="n"/>
      <c r="L21" s="2" t="n"/>
      <c r="M21" s="2" t="n"/>
    </row>
    <row r="22">
      <c r="A22" s="2" t="n"/>
      <c r="B22" s="14" t="inlineStr"/>
      <c r="C22" s="2" t="n"/>
      <c r="D22" s="14" t="inlineStr">
        <is>
          <t>非常電源</t>
        </is>
      </c>
      <c r="E22" s="3" t="inlineStr">
        <is>
          <t>蓄電池設備　DC　Ｖ　AH　充電方式（トリクル・浮動）</t>
        </is>
      </c>
      <c r="F22" s="2" t="n"/>
      <c r="G22" s="2" t="n"/>
      <c r="H22" s="2" t="n"/>
      <c r="I22" s="2" t="n"/>
      <c r="J22" s="2" t="n"/>
      <c r="K22" s="2" t="n"/>
      <c r="L22" s="2" t="n"/>
      <c r="M22" s="2" t="n"/>
    </row>
    <row r="23">
      <c r="A23" s="14" t="inlineStr">
        <is>
          <t>配線</t>
        </is>
      </c>
      <c r="B23" s="14" t="inlineStr">
        <is>
          <t>常用電源回路</t>
        </is>
      </c>
      <c r="C23" s="3" t="inlineStr">
        <is>
          <t>ケーブル露出・電線管露出・電線管埋設・その他</t>
        </is>
      </c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</row>
    <row r="24">
      <c r="A24" s="2" t="n"/>
      <c r="B24" s="14" t="inlineStr">
        <is>
          <t>非常電源回路</t>
        </is>
      </c>
      <c r="C24" s="3" t="inlineStr">
        <is>
          <t>耐火電線・電線管露出・電線管埋設・その他</t>
        </is>
      </c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</row>
    <row r="25">
      <c r="A25" s="2" t="n"/>
      <c r="B25" s="14" t="inlineStr">
        <is>
          <t>警報回路</t>
        </is>
      </c>
      <c r="C25" s="3" t="inlineStr">
        <is>
          <t>耐火電線・電線管露出・電線管埋設・その他</t>
        </is>
      </c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</row>
    <row r="26">
      <c r="A26" s="2" t="n"/>
      <c r="B26" s="14" t="inlineStr">
        <is>
          <t>その他回路</t>
        </is>
      </c>
      <c r="C26" s="3" t="inlineStr">
        <is>
          <t>IV電線・ケーブル露出・電線管露出・電線管埋設・その他</t>
        </is>
      </c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</row>
    <row r="27">
      <c r="A27" s="14" t="inlineStr">
        <is>
          <t>関連設備</t>
        </is>
      </c>
      <c r="B27" s="11">
        <f>入力シート!B88</f>
        <v/>
      </c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</row>
    <row r="28">
      <c r="A28" s="2" t="n"/>
      <c r="B28" s="3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</row>
    <row r="29">
      <c r="A29" s="14" t="inlineStr">
        <is>
          <t>工事者区分</t>
        </is>
      </c>
      <c r="B29" s="14" t="inlineStr">
        <is>
          <t>電源工事</t>
        </is>
      </c>
      <c r="C29" s="3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</row>
    <row r="30">
      <c r="A30" s="2" t="n"/>
      <c r="B30" s="14" t="inlineStr">
        <is>
          <t>配線工事</t>
        </is>
      </c>
      <c r="C30" s="3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</row>
    <row r="31">
      <c r="A31" s="2" t="n"/>
      <c r="B31" s="14" t="inlineStr">
        <is>
          <t>配線工事</t>
        </is>
      </c>
      <c r="C31" s="3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</row>
    <row r="32">
      <c r="A32" s="2" t="n"/>
      <c r="B32" s="14" t="inlineStr">
        <is>
          <t>配線工事</t>
        </is>
      </c>
      <c r="C32" s="3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</row>
    <row r="33">
      <c r="A33" s="2" t="n"/>
      <c r="B33" s="14" t="inlineStr">
        <is>
          <t>機器の取付工事</t>
        </is>
      </c>
      <c r="C33" s="11">
        <f>入力シート!B23</f>
        <v/>
      </c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</row>
    <row r="34">
      <c r="A34" s="14" t="inlineStr">
        <is>
          <t>その他</t>
        </is>
      </c>
      <c r="B34" s="3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</row>
    <row r="35"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</row>
    <row r="36"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</row>
    <row r="37">
      <c r="A37" s="8" t="inlineStr">
        <is>
          <t>備考　１　この用紙の大きさは、日本産業規格Ａ４とすること。</t>
        </is>
      </c>
    </row>
    <row r="38">
      <c r="A38" s="8" t="inlineStr">
        <is>
          <t xml:space="preserve">　　　２　選択肢の併記してある欄は、該当事項を○印で囲むこと。</t>
        </is>
      </c>
    </row>
    <row r="39">
      <c r="A39" s="8" t="inlineStr">
        <is>
          <t xml:space="preserve">　　　３　感知器記入欄の（　）内は、その機能又は性能を記入すること。</t>
        </is>
      </c>
    </row>
    <row r="40">
      <c r="A40" s="8" t="inlineStr">
        <is>
          <t xml:space="preserve">　　　４　関連設備の消火設備（　）内は、その設備等の種類を記入すること。</t>
        </is>
      </c>
    </row>
  </sheetData>
  <mergeCells count="56">
    <mergeCell ref="B12:B13"/>
    <mergeCell ref="D18:M18"/>
    <mergeCell ref="C30:M30"/>
    <mergeCell ref="B6:E6"/>
    <mergeCell ref="A20:A22"/>
    <mergeCell ref="C33:M33"/>
    <mergeCell ref="B8:M8"/>
    <mergeCell ref="B22:C22"/>
    <mergeCell ref="D17:F17"/>
    <mergeCell ref="C24:M24"/>
    <mergeCell ref="H17:M17"/>
    <mergeCell ref="G16:M16"/>
    <mergeCell ref="B18:C18"/>
    <mergeCell ref="D16:F16"/>
    <mergeCell ref="D14:M14"/>
    <mergeCell ref="B21:C21"/>
    <mergeCell ref="A27:A28"/>
    <mergeCell ref="C26:M26"/>
    <mergeCell ref="B28:M28"/>
    <mergeCell ref="A29:A33"/>
    <mergeCell ref="C29:M29"/>
    <mergeCell ref="D20:G20"/>
    <mergeCell ref="C25:M25"/>
    <mergeCell ref="B7:E7"/>
    <mergeCell ref="C10:M10"/>
    <mergeCell ref="B9:M9"/>
    <mergeCell ref="B17:C17"/>
    <mergeCell ref="B10:B11"/>
    <mergeCell ref="D15:F15"/>
    <mergeCell ref="C31:M31"/>
    <mergeCell ref="B34:M36"/>
    <mergeCell ref="A8:A9"/>
    <mergeCell ref="A23:A26"/>
    <mergeCell ref="C12:M12"/>
    <mergeCell ref="B5:M5"/>
    <mergeCell ref="B14:C16"/>
    <mergeCell ref="G15:M15"/>
    <mergeCell ref="B19:C19"/>
    <mergeCell ref="E22:M22"/>
    <mergeCell ref="G7:M7"/>
    <mergeCell ref="C11:M11"/>
    <mergeCell ref="E21:M21"/>
    <mergeCell ref="A14:A19"/>
    <mergeCell ref="B4:M4"/>
    <mergeCell ref="A10:A13"/>
    <mergeCell ref="G19:M19"/>
    <mergeCell ref="C23:M23"/>
    <mergeCell ref="A4:A7"/>
    <mergeCell ref="D19:F19"/>
    <mergeCell ref="G6:M6"/>
    <mergeCell ref="I20:M20"/>
    <mergeCell ref="B20:C20"/>
    <mergeCell ref="C32:M32"/>
    <mergeCell ref="B27:M27"/>
    <mergeCell ref="C13:M13"/>
    <mergeCell ref="A2:M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7030A0"/>
    <outlinePr summaryBelow="1" summaryRight="1"/>
    <pageSetUpPr/>
  </sheetPr>
  <dimension ref="A1:R41"/>
  <sheetViews>
    <sheetView workbookViewId="0">
      <selection activeCell="A1" sqref="A1"/>
    </sheetView>
  </sheetViews>
  <sheetFormatPr baseColWidth="8" defaultRowHeight="15"/>
  <cols>
    <col width="3" customWidth="1" min="1" max="1"/>
    <col width="5" customWidth="1" min="2" max="2"/>
    <col width="5" customWidth="1" min="3" max="3"/>
    <col width="5" customWidth="1" min="4" max="4"/>
    <col width="5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5" customWidth="1" min="11" max="11"/>
    <col width="3" customWidth="1" min="12" max="12"/>
    <col width="3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</cols>
  <sheetData>
    <row r="1">
      <c r="A1" s="8" t="inlineStr">
        <is>
          <t>別記様式第11</t>
        </is>
      </c>
      <c r="R1" s="20" t="inlineStr">
        <is>
          <t>（その１）①</t>
        </is>
      </c>
    </row>
    <row r="3">
      <c r="A3" s="18" t="inlineStr">
        <is>
          <t>自 動 火 災 報 知 設 備 試 験 結 果 報 告 書</t>
        </is>
      </c>
      <c r="B3" s="10" t="n"/>
      <c r="C3" s="10" t="n"/>
      <c r="D3" s="10" t="n"/>
      <c r="E3" s="10" t="n"/>
      <c r="F3" s="10" t="n"/>
      <c r="G3" s="10" t="n"/>
      <c r="H3" s="10" t="n"/>
      <c r="I3" s="10" t="n"/>
      <c r="J3" s="10" t="n"/>
      <c r="K3" s="10" t="n"/>
      <c r="L3" s="10" t="n"/>
      <c r="M3" s="10" t="n"/>
      <c r="N3" s="10" t="n"/>
      <c r="O3" s="10" t="n"/>
      <c r="P3" s="10" t="n"/>
      <c r="Q3" s="10" t="n"/>
      <c r="R3" s="10" t="n"/>
    </row>
    <row r="5">
      <c r="A5" s="11">
        <f>"試験実施日　"&amp;入力シート!B86</f>
        <v/>
      </c>
      <c r="B5" s="10" t="n"/>
      <c r="C5" s="10" t="n"/>
      <c r="D5" s="10" t="n"/>
      <c r="E5" s="10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 t="n"/>
      <c r="P5" s="10" t="n"/>
      <c r="Q5" s="10" t="n"/>
      <c r="R5" s="10" t="n"/>
    </row>
    <row r="7">
      <c r="H7" s="12" t="inlineStr">
        <is>
          <t>試験実施者</t>
        </is>
      </c>
    </row>
    <row r="9">
      <c r="H9" s="13" t="inlineStr">
        <is>
          <t>住　所</t>
        </is>
      </c>
      <c r="I9" s="11">
        <f>VLOOKUP(入力シート!B35,入力シート!A30:G32,2,FALSE)</f>
        <v/>
      </c>
      <c r="J9" s="10" t="n"/>
      <c r="K9" s="10" t="n"/>
      <c r="L9" s="10" t="n"/>
      <c r="M9" s="10" t="n"/>
      <c r="N9" s="10" t="n"/>
      <c r="O9" s="10" t="n"/>
      <c r="P9" s="10" t="n"/>
      <c r="Q9" s="10" t="n"/>
      <c r="R9" s="10" t="n"/>
    </row>
    <row r="10">
      <c r="H10" s="13" t="inlineStr">
        <is>
          <t>氏　名</t>
        </is>
      </c>
      <c r="I10" s="11">
        <f>入力シート!B35</f>
        <v/>
      </c>
      <c r="J10" s="10" t="n"/>
      <c r="K10" s="10" t="n"/>
      <c r="L10" s="10" t="n"/>
      <c r="M10" s="10" t="n"/>
      <c r="N10" s="10" t="n"/>
      <c r="O10" s="10" t="n"/>
      <c r="P10" s="10" t="n"/>
      <c r="Q10" s="10" t="n"/>
      <c r="R10" s="10" t="n"/>
    </row>
    <row r="12">
      <c r="A12" s="14" t="inlineStr">
        <is>
          <t>用途</t>
        </is>
      </c>
      <c r="B12" s="11">
        <f>"（"&amp;入力シート!B12&amp;"）項"</f>
        <v/>
      </c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</row>
    <row r="13">
      <c r="A13" s="14" t="inlineStr">
        <is>
          <t>延べ面積</t>
        </is>
      </c>
      <c r="B13" s="11">
        <f>入力シート!B16&amp;"㎡"</f>
        <v/>
      </c>
      <c r="C13" s="2" t="n"/>
      <c r="D13" s="2" t="n"/>
      <c r="E13" s="2" t="n"/>
      <c r="F13" s="2" t="n"/>
      <c r="G13" s="2" t="n"/>
      <c r="H13" s="2" t="n"/>
      <c r="I13" s="14" t="inlineStr">
        <is>
          <t>階数</t>
        </is>
      </c>
      <c r="J13" s="11">
        <f>"地上 "&amp;入力シート!B14&amp;"階"</f>
        <v/>
      </c>
      <c r="K13" s="2" t="n"/>
      <c r="L13" s="2" t="n"/>
      <c r="M13" s="2" t="n"/>
      <c r="N13" s="2" t="n"/>
      <c r="O13" s="2" t="n"/>
      <c r="P13" s="2" t="n"/>
      <c r="Q13" s="2" t="n"/>
      <c r="R13" s="2" t="n"/>
    </row>
    <row r="14">
      <c r="A14" s="14" t="inlineStr">
        <is>
          <t>受信機</t>
        </is>
      </c>
      <c r="B14" s="2" t="n"/>
      <c r="C14" s="3" t="inlineStr">
        <is>
          <t>蓄積式・二信号式・アナログ式・自動試験機能付き・遠隔試験機能付き・無線式・その他</t>
        </is>
      </c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</row>
    <row r="15">
      <c r="A15" s="2" t="n"/>
      <c r="B15" s="2" t="n"/>
      <c r="C15" s="11">
        <f>"Ｐ・ＧＰ型"&amp;入力シート!B39&amp;"級　回線数  "&amp;入力シート!B40</f>
        <v/>
      </c>
      <c r="D15" s="2" t="n"/>
      <c r="E15" s="2" t="n"/>
      <c r="F15" s="2" t="n"/>
      <c r="G15" s="2" t="n"/>
      <c r="H15" s="2" t="n"/>
      <c r="I15" s="2" t="n"/>
      <c r="J15" s="3" t="inlineStr">
        <is>
          <t>Ｒ・GR型 自火報点数　点・その他点数　点・予備点数　点</t>
        </is>
      </c>
      <c r="K15" s="2" t="n"/>
      <c r="L15" s="2" t="n"/>
      <c r="M15" s="2" t="n"/>
      <c r="N15" s="2" t="n"/>
      <c r="O15" s="2" t="n"/>
      <c r="P15" s="2" t="n"/>
      <c r="Q15" s="2" t="n"/>
      <c r="R15" s="2" t="n"/>
    </row>
    <row r="16">
      <c r="A16" s="2" t="n"/>
      <c r="B16" s="2" t="n"/>
      <c r="C16" s="14" t="inlineStr">
        <is>
          <t>定格電圧</t>
        </is>
      </c>
      <c r="D16" s="2" t="n"/>
      <c r="E16" s="3" t="inlineStr">
        <is>
          <t>ＡＣ　100　Ｖ　・　ＤＣ　　Ｖ</t>
        </is>
      </c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</row>
    <row r="17">
      <c r="A17" s="2" t="n"/>
      <c r="B17" s="2" t="n"/>
      <c r="C17" s="14" t="inlineStr">
        <is>
          <t>予備電源</t>
        </is>
      </c>
      <c r="D17" s="2" t="n"/>
      <c r="E17" s="11">
        <f>"NiCd・その他（　）DC "&amp;入力シート!B41&amp;"V  "&amp;入力シート!B42&amp;"AH"</f>
        <v/>
      </c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</row>
    <row r="18">
      <c r="A18" s="14" t="inlineStr">
        <is>
          <t>発信機</t>
        </is>
      </c>
      <c r="B18" s="11">
        <f>入力シート!B63&amp;"型  "&amp;入力シート!B64&amp;"級  屋外型  "&amp;入力シート!B65&amp;"個"</f>
        <v/>
      </c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</row>
    <row r="19">
      <c r="A19" s="14" t="inlineStr">
        <is>
          <t>中継器</t>
        </is>
      </c>
      <c r="B19" s="2" t="n"/>
      <c r="C19" s="3" t="inlineStr">
        <is>
          <t>アナログ式・蓄積式・自動試験機能付き・遠隔試験機能付き・無線式・他（　）回線</t>
        </is>
      </c>
      <c r="D19" s="2" t="n"/>
      <c r="E19" s="2" t="n"/>
      <c r="F19" s="2" t="n"/>
      <c r="G19" s="2" t="n"/>
      <c r="H19" s="2" t="n"/>
      <c r="I19" s="2" t="n"/>
      <c r="J19" s="3" t="inlineStr">
        <is>
          <t>予備電源　有（V　AH）・無</t>
        </is>
      </c>
      <c r="K19" s="2" t="n"/>
      <c r="L19" s="2" t="n"/>
      <c r="M19" s="2" t="n"/>
      <c r="N19" s="2" t="n"/>
      <c r="O19" s="2" t="n"/>
      <c r="P19" s="3" t="inlineStr">
        <is>
          <t>設置台数　台</t>
        </is>
      </c>
      <c r="Q19" s="2" t="n"/>
      <c r="R19" s="2" t="n"/>
    </row>
    <row r="20">
      <c r="A20" s="2" t="n"/>
      <c r="B20" s="2" t="n"/>
      <c r="C20" s="3" t="inlineStr">
        <is>
          <t>アナログ式・蓄積式・自動試験機能付き・遠隔試験機能付き・無線式・他（　）回線</t>
        </is>
      </c>
      <c r="D20" s="2" t="n"/>
      <c r="E20" s="2" t="n"/>
      <c r="F20" s="2" t="n"/>
      <c r="G20" s="2" t="n"/>
      <c r="H20" s="2" t="n"/>
      <c r="I20" s="2" t="n"/>
      <c r="J20" s="3" t="inlineStr">
        <is>
          <t>予備電源　有（V　AH）・無</t>
        </is>
      </c>
      <c r="K20" s="2" t="n"/>
      <c r="L20" s="2" t="n"/>
      <c r="M20" s="2" t="n"/>
      <c r="N20" s="2" t="n"/>
      <c r="O20" s="2" t="n"/>
      <c r="P20" s="3" t="inlineStr">
        <is>
          <t>設置台数　台</t>
        </is>
      </c>
      <c r="Q20" s="2" t="n"/>
      <c r="R20" s="2" t="n"/>
    </row>
    <row r="21">
      <c r="A21" s="2" t="n"/>
      <c r="B21" s="2" t="n"/>
      <c r="C21" s="3" t="inlineStr">
        <is>
          <t>アナログ式・蓄積式・自動試験機能付き・遠隔試験機能付き・無線式・他（　）回線</t>
        </is>
      </c>
      <c r="D21" s="2" t="n"/>
      <c r="E21" s="2" t="n"/>
      <c r="F21" s="2" t="n"/>
      <c r="G21" s="2" t="n"/>
      <c r="H21" s="2" t="n"/>
      <c r="I21" s="2" t="n"/>
      <c r="J21" s="3" t="inlineStr">
        <is>
          <t>予備電源　有（V　AH）・無</t>
        </is>
      </c>
      <c r="K21" s="2" t="n"/>
      <c r="L21" s="2" t="n"/>
      <c r="M21" s="2" t="n"/>
      <c r="N21" s="2" t="n"/>
      <c r="O21" s="2" t="n"/>
      <c r="P21" s="3" t="inlineStr">
        <is>
          <t>設置台数　台</t>
        </is>
      </c>
      <c r="Q21" s="2" t="n"/>
      <c r="R21" s="2" t="n"/>
    </row>
    <row r="22">
      <c r="A22" s="2" t="n"/>
      <c r="B22" s="2" t="n"/>
      <c r="C22" s="3" t="inlineStr">
        <is>
          <t>アナログ式・蓄積式・自動試験機能付き・遠隔試験機能付き・無線式・他（　）回線</t>
        </is>
      </c>
      <c r="D22" s="2" t="n"/>
      <c r="E22" s="2" t="n"/>
      <c r="F22" s="2" t="n"/>
      <c r="G22" s="2" t="n"/>
      <c r="H22" s="2" t="n"/>
      <c r="I22" s="2" t="n"/>
      <c r="J22" s="3" t="inlineStr">
        <is>
          <t>予備電源　有（V　AH）・無</t>
        </is>
      </c>
      <c r="K22" s="2" t="n"/>
      <c r="L22" s="2" t="n"/>
      <c r="M22" s="2" t="n"/>
      <c r="N22" s="2" t="n"/>
      <c r="O22" s="2" t="n"/>
      <c r="P22" s="3" t="inlineStr">
        <is>
          <t>設置台数　台</t>
        </is>
      </c>
      <c r="Q22" s="2" t="n"/>
      <c r="R22" s="2" t="n"/>
    </row>
    <row r="23">
      <c r="A23" s="14" t="inlineStr">
        <is>
          <t>感知器</t>
        </is>
      </c>
      <c r="B23" s="2" t="n"/>
      <c r="C23" s="14" t="inlineStr">
        <is>
          <t>機　種</t>
        </is>
      </c>
      <c r="D23" s="2" t="n"/>
      <c r="E23" s="2" t="n"/>
      <c r="F23" s="2" t="n"/>
      <c r="G23" s="2" t="n"/>
      <c r="H23" s="2" t="n"/>
      <c r="I23" s="2" t="n"/>
      <c r="J23" s="14" t="inlineStr">
        <is>
          <t>自</t>
        </is>
      </c>
      <c r="K23" s="14" t="inlineStr">
        <is>
          <t>遠</t>
        </is>
      </c>
      <c r="L23" s="14" t="inlineStr">
        <is>
          <t>種別</t>
        </is>
      </c>
      <c r="M23" s="2" t="n"/>
      <c r="N23" s="2" t="n"/>
      <c r="O23" s="2" t="n"/>
      <c r="P23" s="14" t="inlineStr">
        <is>
          <t>個数</t>
        </is>
      </c>
      <c r="Q23" s="2" t="n"/>
      <c r="R23" s="2" t="n"/>
    </row>
    <row r="24">
      <c r="A24" s="2" t="n"/>
      <c r="B24" s="2" t="n"/>
      <c r="C24" s="6" t="n"/>
      <c r="D24" s="2" t="n"/>
      <c r="E24" s="2" t="n"/>
      <c r="F24" s="2" t="n"/>
      <c r="G24" s="2" t="n"/>
      <c r="H24" s="2" t="n"/>
      <c r="I24" s="2" t="n"/>
      <c r="J24" s="6" t="n"/>
      <c r="K24" s="6" t="n"/>
      <c r="L24" s="6" t="n"/>
      <c r="M24" s="2" t="n"/>
      <c r="N24" s="2" t="n"/>
      <c r="O24" s="2" t="n"/>
      <c r="P24" s="6" t="n"/>
      <c r="Q24" s="2" t="n"/>
      <c r="R24" s="2" t="n"/>
    </row>
    <row r="25">
      <c r="A25" s="2" t="n"/>
      <c r="B25" s="2" t="n"/>
      <c r="C25" s="6" t="n"/>
      <c r="D25" s="2" t="n"/>
      <c r="E25" s="2" t="n"/>
      <c r="F25" s="2" t="n"/>
      <c r="G25" s="2" t="n"/>
      <c r="H25" s="2" t="n"/>
      <c r="I25" s="2" t="n"/>
      <c r="J25" s="6" t="n"/>
      <c r="K25" s="6" t="n"/>
      <c r="L25" s="6" t="n"/>
      <c r="M25" s="2" t="n"/>
      <c r="N25" s="2" t="n"/>
      <c r="O25" s="2" t="n"/>
      <c r="P25" s="6" t="n"/>
      <c r="Q25" s="2" t="n"/>
      <c r="R25" s="2" t="n"/>
    </row>
    <row r="26">
      <c r="A26" s="2" t="n"/>
      <c r="B26" s="2" t="n"/>
      <c r="C26" s="6" t="n"/>
      <c r="D26" s="2" t="n"/>
      <c r="E26" s="2" t="n"/>
      <c r="F26" s="2" t="n"/>
      <c r="G26" s="2" t="n"/>
      <c r="H26" s="2" t="n"/>
      <c r="I26" s="2" t="n"/>
      <c r="J26" s="6" t="n"/>
      <c r="K26" s="6" t="n"/>
      <c r="L26" s="6" t="n"/>
      <c r="M26" s="2" t="n"/>
      <c r="N26" s="2" t="n"/>
      <c r="O26" s="2" t="n"/>
      <c r="P26" s="6" t="n"/>
      <c r="Q26" s="2" t="n"/>
      <c r="R26" s="2" t="n"/>
    </row>
    <row r="27">
      <c r="A27" s="2" t="n"/>
      <c r="B27" s="2" t="n"/>
      <c r="C27" s="6" t="n"/>
      <c r="D27" s="2" t="n"/>
      <c r="E27" s="2" t="n"/>
      <c r="F27" s="2" t="n"/>
      <c r="G27" s="2" t="n"/>
      <c r="H27" s="2" t="n"/>
      <c r="I27" s="2" t="n"/>
      <c r="J27" s="6" t="n"/>
      <c r="K27" s="6" t="n"/>
      <c r="L27" s="6" t="n"/>
      <c r="M27" s="2" t="n"/>
      <c r="N27" s="2" t="n"/>
      <c r="O27" s="2" t="n"/>
      <c r="P27" s="6" t="n"/>
      <c r="Q27" s="2" t="n"/>
      <c r="R27" s="2" t="n"/>
    </row>
    <row r="28">
      <c r="A28" s="2" t="n"/>
      <c r="B28" s="2" t="n"/>
      <c r="C28" s="6" t="n"/>
      <c r="D28" s="2" t="n"/>
      <c r="E28" s="2" t="n"/>
      <c r="F28" s="2" t="n"/>
      <c r="G28" s="2" t="n"/>
      <c r="H28" s="2" t="n"/>
      <c r="I28" s="2" t="n"/>
      <c r="J28" s="6" t="n"/>
      <c r="K28" s="6" t="n"/>
      <c r="L28" s="6" t="n"/>
      <c r="M28" s="2" t="n"/>
      <c r="N28" s="2" t="n"/>
      <c r="O28" s="2" t="n"/>
      <c r="P28" s="6" t="n"/>
      <c r="Q28" s="2" t="n"/>
      <c r="R28" s="2" t="n"/>
    </row>
    <row r="29">
      <c r="A29" s="2" t="n"/>
      <c r="B29" s="2" t="n"/>
      <c r="C29" s="6" t="n"/>
      <c r="D29" s="2" t="n"/>
      <c r="E29" s="2" t="n"/>
      <c r="F29" s="2" t="n"/>
      <c r="G29" s="2" t="n"/>
      <c r="H29" s="2" t="n"/>
      <c r="I29" s="2" t="n"/>
      <c r="J29" s="6" t="n"/>
      <c r="K29" s="6" t="n"/>
      <c r="L29" s="6" t="n"/>
      <c r="M29" s="2" t="n"/>
      <c r="N29" s="2" t="n"/>
      <c r="O29" s="2" t="n"/>
      <c r="P29" s="6" t="n"/>
      <c r="Q29" s="2" t="n"/>
      <c r="R29" s="2" t="n"/>
    </row>
    <row r="30">
      <c r="A30" s="2" t="n"/>
      <c r="B30" s="2" t="n"/>
      <c r="C30" s="6" t="n"/>
      <c r="D30" s="2" t="n"/>
      <c r="E30" s="2" t="n"/>
      <c r="F30" s="2" t="n"/>
      <c r="G30" s="2" t="n"/>
      <c r="H30" s="2" t="n"/>
      <c r="I30" s="2" t="n"/>
      <c r="J30" s="6" t="n"/>
      <c r="K30" s="6" t="n"/>
      <c r="L30" s="6" t="n"/>
      <c r="M30" s="2" t="n"/>
      <c r="N30" s="2" t="n"/>
      <c r="O30" s="2" t="n"/>
      <c r="P30" s="6" t="n"/>
      <c r="Q30" s="2" t="n"/>
      <c r="R30" s="2" t="n"/>
    </row>
    <row r="31">
      <c r="A31" s="2" t="n"/>
      <c r="B31" s="2" t="n"/>
      <c r="C31" s="6" t="n"/>
      <c r="D31" s="2" t="n"/>
      <c r="E31" s="2" t="n"/>
      <c r="F31" s="2" t="n"/>
      <c r="G31" s="2" t="n"/>
      <c r="H31" s="2" t="n"/>
      <c r="I31" s="2" t="n"/>
      <c r="J31" s="6" t="n"/>
      <c r="K31" s="6" t="n"/>
      <c r="L31" s="6" t="n"/>
      <c r="M31" s="2" t="n"/>
      <c r="N31" s="2" t="n"/>
      <c r="O31" s="2" t="n"/>
      <c r="P31" s="6" t="n"/>
      <c r="Q31" s="2" t="n"/>
      <c r="R31" s="2" t="n"/>
    </row>
    <row r="32">
      <c r="A32" s="2" t="n"/>
      <c r="B32" s="2" t="n"/>
      <c r="C32" s="6" t="n"/>
      <c r="D32" s="2" t="n"/>
      <c r="E32" s="2" t="n"/>
      <c r="F32" s="2" t="n"/>
      <c r="G32" s="2" t="n"/>
      <c r="H32" s="2" t="n"/>
      <c r="I32" s="2" t="n"/>
      <c r="J32" s="6" t="n"/>
      <c r="K32" s="6" t="n"/>
      <c r="L32" s="6" t="n"/>
      <c r="M32" s="2" t="n"/>
      <c r="N32" s="2" t="n"/>
      <c r="O32" s="2" t="n"/>
      <c r="P32" s="6" t="n"/>
      <c r="Q32" s="2" t="n"/>
      <c r="R32" s="2" t="n"/>
    </row>
    <row r="33">
      <c r="A33" s="2" t="n"/>
      <c r="B33" s="2" t="n"/>
      <c r="C33" s="6" t="n"/>
      <c r="D33" s="2" t="n"/>
      <c r="E33" s="2" t="n"/>
      <c r="F33" s="2" t="n"/>
      <c r="G33" s="2" t="n"/>
      <c r="H33" s="2" t="n"/>
      <c r="I33" s="2" t="n"/>
      <c r="J33" s="6" t="n"/>
      <c r="K33" s="6" t="n"/>
      <c r="L33" s="6" t="n"/>
      <c r="M33" s="2" t="n"/>
      <c r="N33" s="2" t="n"/>
      <c r="O33" s="2" t="n"/>
      <c r="P33" s="6" t="n"/>
      <c r="Q33" s="2" t="n"/>
      <c r="R33" s="2" t="n"/>
    </row>
    <row r="34">
      <c r="A34" s="14" t="inlineStr">
        <is>
          <t>音響装置</t>
        </is>
      </c>
      <c r="B34" s="2" t="n"/>
      <c r="C34" s="14" t="inlineStr">
        <is>
          <t>種別</t>
        </is>
      </c>
      <c r="D34" s="2" t="n"/>
      <c r="E34" s="2" t="n"/>
      <c r="F34" s="14" t="inlineStr">
        <is>
          <t>種類</t>
        </is>
      </c>
      <c r="G34" s="2" t="n"/>
      <c r="H34" s="2" t="n"/>
      <c r="I34" s="2" t="n"/>
      <c r="J34" s="14" t="inlineStr">
        <is>
          <t>電圧</t>
        </is>
      </c>
      <c r="K34" s="2" t="n"/>
      <c r="L34" s="2" t="n"/>
      <c r="M34" s="2" t="n"/>
      <c r="N34" s="14" t="inlineStr">
        <is>
          <t>電流</t>
        </is>
      </c>
      <c r="O34" s="2" t="n"/>
      <c r="P34" s="2" t="n"/>
      <c r="Q34" s="14" t="inlineStr">
        <is>
          <t>個数</t>
        </is>
      </c>
      <c r="R34" s="2" t="n"/>
    </row>
    <row r="35">
      <c r="A35" s="2" t="n"/>
      <c r="B35" s="2" t="n"/>
      <c r="C35" s="14" t="inlineStr">
        <is>
          <t>主音響装置</t>
        </is>
      </c>
      <c r="D35" s="2" t="n"/>
      <c r="E35" s="2" t="n"/>
      <c r="F35" s="6" t="n"/>
      <c r="G35" s="2" t="n"/>
      <c r="H35" s="2" t="n"/>
      <c r="I35" s="2" t="n"/>
      <c r="J35" s="6" t="n"/>
      <c r="K35" s="2" t="n"/>
      <c r="L35" s="2" t="n"/>
      <c r="M35" s="2" t="n"/>
      <c r="N35" s="6" t="n"/>
      <c r="O35" s="2" t="n"/>
      <c r="P35" s="2" t="n"/>
      <c r="Q35" s="6" t="n"/>
      <c r="R35" s="2" t="n"/>
    </row>
    <row r="36">
      <c r="A36" s="2" t="n"/>
      <c r="B36" s="2" t="n"/>
      <c r="C36" s="14" t="inlineStr">
        <is>
          <t>副音響装置</t>
        </is>
      </c>
      <c r="D36" s="2" t="n"/>
      <c r="E36" s="2" t="n"/>
      <c r="F36" s="6" t="n"/>
      <c r="G36" s="2" t="n"/>
      <c r="H36" s="2" t="n"/>
      <c r="I36" s="2" t="n"/>
      <c r="J36" s="6" t="n"/>
      <c r="K36" s="2" t="n"/>
      <c r="L36" s="2" t="n"/>
      <c r="M36" s="2" t="n"/>
      <c r="N36" s="6" t="n"/>
      <c r="O36" s="2" t="n"/>
      <c r="P36" s="2" t="n"/>
      <c r="Q36" s="6" t="n"/>
      <c r="R36" s="2" t="n"/>
    </row>
    <row r="37">
      <c r="A37" s="2" t="n"/>
      <c r="B37" s="2" t="n"/>
      <c r="C37" s="14" t="inlineStr">
        <is>
          <t>地区音響装置</t>
        </is>
      </c>
      <c r="D37" s="2" t="n"/>
      <c r="E37" s="2" t="n"/>
      <c r="F37" s="6" t="n"/>
      <c r="G37" s="2" t="n"/>
      <c r="H37" s="2" t="n"/>
      <c r="I37" s="2" t="n"/>
      <c r="J37" s="11">
        <f>"DC "&amp;入力シート!B58&amp;"V"</f>
        <v/>
      </c>
      <c r="K37" s="2" t="n"/>
      <c r="L37" s="2" t="n"/>
      <c r="M37" s="2" t="n"/>
      <c r="N37" s="11">
        <f>入力シート!B59&amp;"mA"</f>
        <v/>
      </c>
      <c r="O37" s="2" t="n"/>
      <c r="P37" s="2" t="n"/>
      <c r="Q37" s="11">
        <f>入力シート!B60</f>
        <v/>
      </c>
      <c r="R37" s="2" t="n"/>
    </row>
    <row r="38">
      <c r="A38" s="2" t="n"/>
      <c r="B38" s="2" t="n"/>
      <c r="C38" s="14" t="inlineStr"/>
      <c r="D38" s="2" t="n"/>
      <c r="E38" s="2" t="n"/>
      <c r="F38" s="6" t="n"/>
      <c r="G38" s="2" t="n"/>
      <c r="H38" s="2" t="n"/>
      <c r="I38" s="2" t="n"/>
      <c r="J38" s="6" t="n"/>
      <c r="K38" s="2" t="n"/>
      <c r="L38" s="2" t="n"/>
      <c r="M38" s="2" t="n"/>
      <c r="N38" s="6" t="n"/>
      <c r="O38" s="2" t="n"/>
      <c r="P38" s="2" t="n"/>
      <c r="Q38" s="6" t="n"/>
      <c r="R38" s="2" t="n"/>
    </row>
    <row r="39">
      <c r="A39" s="2" t="n"/>
      <c r="B39" s="2" t="n"/>
      <c r="C39" s="14" t="inlineStr"/>
      <c r="D39" s="2" t="n"/>
      <c r="E39" s="2" t="n"/>
      <c r="F39" s="6" t="n"/>
      <c r="G39" s="2" t="n"/>
      <c r="H39" s="2" t="n"/>
      <c r="I39" s="2" t="n"/>
      <c r="J39" s="6" t="n"/>
      <c r="K39" s="2" t="n"/>
      <c r="L39" s="2" t="n"/>
      <c r="M39" s="2" t="n"/>
      <c r="N39" s="6" t="n"/>
      <c r="O39" s="2" t="n"/>
      <c r="P39" s="2" t="n"/>
      <c r="Q39" s="6" t="n"/>
      <c r="R39" s="2" t="n"/>
    </row>
    <row r="40">
      <c r="A40" s="2" t="n"/>
      <c r="B40" s="2" t="n"/>
      <c r="C40" s="14" t="inlineStr">
        <is>
          <t>放送設備との連動</t>
        </is>
      </c>
      <c r="D40" s="2" t="n"/>
      <c r="E40" s="2" t="n"/>
      <c r="F40" s="11">
        <f>入力シート!B90</f>
        <v/>
      </c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</row>
    <row r="41">
      <c r="A41" s="2" t="n"/>
      <c r="B41" s="2" t="n"/>
      <c r="C41" s="14" t="inlineStr">
        <is>
          <t>鳴動方式</t>
        </is>
      </c>
      <c r="D41" s="2" t="n"/>
      <c r="E41" s="2" t="n"/>
      <c r="F41" s="11">
        <f>入力シート!B89</f>
        <v/>
      </c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</row>
  </sheetData>
  <mergeCells count="98">
    <mergeCell ref="P27:R27"/>
    <mergeCell ref="C40:E40"/>
    <mergeCell ref="C19:I19"/>
    <mergeCell ref="I10:R10"/>
    <mergeCell ref="L27:O27"/>
    <mergeCell ref="C28:I28"/>
    <mergeCell ref="P19:R19"/>
    <mergeCell ref="P28:R28"/>
    <mergeCell ref="I9:R9"/>
    <mergeCell ref="C30:I30"/>
    <mergeCell ref="Q35:R35"/>
    <mergeCell ref="P30:R30"/>
    <mergeCell ref="L28:O28"/>
    <mergeCell ref="C14:R14"/>
    <mergeCell ref="C17:D17"/>
    <mergeCell ref="C34:E34"/>
    <mergeCell ref="C31:I31"/>
    <mergeCell ref="J19:O19"/>
    <mergeCell ref="C21:I21"/>
    <mergeCell ref="E16:R16"/>
    <mergeCell ref="C23:I23"/>
    <mergeCell ref="L31:O31"/>
    <mergeCell ref="Q37:R37"/>
    <mergeCell ref="F37:I37"/>
    <mergeCell ref="Q39:R39"/>
    <mergeCell ref="A14:B17"/>
    <mergeCell ref="Q38:R38"/>
    <mergeCell ref="C39:E39"/>
    <mergeCell ref="F34:I34"/>
    <mergeCell ref="N34:P34"/>
    <mergeCell ref="C38:E38"/>
    <mergeCell ref="N36:P36"/>
    <mergeCell ref="C20:I20"/>
    <mergeCell ref="J34:M34"/>
    <mergeCell ref="C29:I29"/>
    <mergeCell ref="P20:R20"/>
    <mergeCell ref="P29:R29"/>
    <mergeCell ref="C22:I22"/>
    <mergeCell ref="J36:M36"/>
    <mergeCell ref="L30:O30"/>
    <mergeCell ref="P22:R22"/>
    <mergeCell ref="N37:P37"/>
    <mergeCell ref="P31:R31"/>
    <mergeCell ref="L29:O29"/>
    <mergeCell ref="C35:E35"/>
    <mergeCell ref="P21:R21"/>
    <mergeCell ref="F39:I39"/>
    <mergeCell ref="C32:I32"/>
    <mergeCell ref="A23:B33"/>
    <mergeCell ref="P23:R23"/>
    <mergeCell ref="J20:O20"/>
    <mergeCell ref="E17:R17"/>
    <mergeCell ref="C36:E36"/>
    <mergeCell ref="B12:R12"/>
    <mergeCell ref="J22:O22"/>
    <mergeCell ref="A19:B22"/>
    <mergeCell ref="C24:I24"/>
    <mergeCell ref="J38:M38"/>
    <mergeCell ref="L32:O32"/>
    <mergeCell ref="C33:I33"/>
    <mergeCell ref="J21:O21"/>
    <mergeCell ref="P33:R33"/>
    <mergeCell ref="C37:E37"/>
    <mergeCell ref="C26:I26"/>
    <mergeCell ref="N35:P35"/>
    <mergeCell ref="L24:O24"/>
    <mergeCell ref="C25:I25"/>
    <mergeCell ref="L33:O33"/>
    <mergeCell ref="F36:I36"/>
    <mergeCell ref="A34:B41"/>
    <mergeCell ref="P25:R25"/>
    <mergeCell ref="B13:H13"/>
    <mergeCell ref="L26:O26"/>
    <mergeCell ref="J35:M35"/>
    <mergeCell ref="J13:R13"/>
    <mergeCell ref="L25:O25"/>
    <mergeCell ref="C41:E41"/>
    <mergeCell ref="J15:R15"/>
    <mergeCell ref="N39:P39"/>
    <mergeCell ref="A3:R3"/>
    <mergeCell ref="B18:R18"/>
    <mergeCell ref="N38:P38"/>
    <mergeCell ref="C16:D16"/>
    <mergeCell ref="P32:R32"/>
    <mergeCell ref="J39:M39"/>
    <mergeCell ref="A5:R5"/>
    <mergeCell ref="C15:I15"/>
    <mergeCell ref="J37:M37"/>
    <mergeCell ref="Q34:R34"/>
    <mergeCell ref="P24:R24"/>
    <mergeCell ref="F40:R40"/>
    <mergeCell ref="Q36:R36"/>
    <mergeCell ref="P26:R26"/>
    <mergeCell ref="L23:O23"/>
    <mergeCell ref="F35:I35"/>
    <mergeCell ref="F41:R41"/>
    <mergeCell ref="F38:I38"/>
    <mergeCell ref="C27:I2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BF8F00"/>
    <outlinePr summaryBelow="1" summaryRight="1"/>
    <pageSetUpPr/>
  </sheetPr>
  <dimension ref="A1:R41"/>
  <sheetViews>
    <sheetView workbookViewId="0">
      <selection activeCell="A1" sqref="A1"/>
    </sheetView>
  </sheetViews>
  <sheetFormatPr baseColWidth="8" defaultRowHeight="15"/>
  <cols>
    <col width="3" customWidth="1" min="1" max="1"/>
    <col width="5" customWidth="1" min="2" max="2"/>
    <col width="5" customWidth="1" min="3" max="3"/>
    <col width="5" customWidth="1" min="4" max="4"/>
    <col width="5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5" customWidth="1" min="11" max="11"/>
    <col width="3" customWidth="1" min="12" max="12"/>
    <col width="3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</cols>
  <sheetData>
    <row r="1">
      <c r="A1" s="8" t="inlineStr">
        <is>
          <t>別記様式第34</t>
        </is>
      </c>
      <c r="R1" s="20" t="inlineStr">
        <is>
          <t>①</t>
        </is>
      </c>
    </row>
    <row r="3">
      <c r="A3" s="18" t="inlineStr">
        <is>
          <t>住戸用自動火災報知設備・共同住宅用非常警報設備試験結果報告書</t>
        </is>
      </c>
      <c r="B3" s="10" t="n"/>
      <c r="C3" s="10" t="n"/>
      <c r="D3" s="10" t="n"/>
      <c r="E3" s="10" t="n"/>
      <c r="F3" s="10" t="n"/>
      <c r="G3" s="10" t="n"/>
      <c r="H3" s="10" t="n"/>
      <c r="I3" s="10" t="n"/>
      <c r="J3" s="10" t="n"/>
      <c r="K3" s="10" t="n"/>
      <c r="L3" s="10" t="n"/>
      <c r="M3" s="10" t="n"/>
      <c r="N3" s="10" t="n"/>
      <c r="O3" s="10" t="n"/>
      <c r="P3" s="10" t="n"/>
      <c r="Q3" s="10" t="n"/>
      <c r="R3" s="10" t="n"/>
    </row>
    <row r="5">
      <c r="A5" s="11">
        <f>"試験実施日　"&amp;入力シート!B86</f>
        <v/>
      </c>
      <c r="B5" s="10" t="n"/>
      <c r="C5" s="10" t="n"/>
      <c r="D5" s="10" t="n"/>
      <c r="E5" s="10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 t="n"/>
      <c r="P5" s="10" t="n"/>
      <c r="Q5" s="10" t="n"/>
      <c r="R5" s="10" t="n"/>
    </row>
    <row r="7">
      <c r="H7" s="12" t="inlineStr">
        <is>
          <t>試験実施者</t>
        </is>
      </c>
    </row>
    <row r="9">
      <c r="H9" s="13" t="inlineStr">
        <is>
          <t>住　所</t>
        </is>
      </c>
      <c r="I9" s="11">
        <f>VLOOKUP(入力シート!B35,入力シート!A30:G32,2,FALSE)</f>
        <v/>
      </c>
      <c r="J9" s="10" t="n"/>
      <c r="K9" s="10" t="n"/>
      <c r="L9" s="10" t="n"/>
      <c r="M9" s="10" t="n"/>
      <c r="N9" s="10" t="n"/>
      <c r="O9" s="10" t="n"/>
      <c r="P9" s="10" t="n"/>
      <c r="Q9" s="10" t="n"/>
      <c r="R9" s="10" t="n"/>
    </row>
    <row r="10">
      <c r="H10" s="13" t="inlineStr">
        <is>
          <t>氏　名</t>
        </is>
      </c>
      <c r="I10" s="11">
        <f>入力シート!B35</f>
        <v/>
      </c>
      <c r="J10" s="10" t="n"/>
      <c r="K10" s="10" t="n"/>
      <c r="L10" s="10" t="n"/>
      <c r="M10" s="10" t="n"/>
      <c r="N10" s="10" t="n"/>
      <c r="O10" s="10" t="n"/>
      <c r="P10" s="10" t="n"/>
      <c r="Q10" s="10" t="n"/>
      <c r="R10" s="10" t="n"/>
    </row>
    <row r="12">
      <c r="A12" s="14" t="inlineStr">
        <is>
          <t>用途</t>
        </is>
      </c>
      <c r="B12" s="11">
        <f>"（"&amp;入力シート!B12&amp;"）項"</f>
        <v/>
      </c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</row>
    <row r="13">
      <c r="A13" s="14" t="inlineStr">
        <is>
          <t>延べ面積</t>
        </is>
      </c>
      <c r="B13" s="11">
        <f>入力シート!B16&amp;"㎡"</f>
        <v/>
      </c>
      <c r="C13" s="2" t="n"/>
      <c r="D13" s="2" t="n"/>
      <c r="E13" s="2" t="n"/>
      <c r="F13" s="2" t="n"/>
      <c r="G13" s="2" t="n"/>
      <c r="H13" s="2" t="n"/>
      <c r="I13" s="14" t="inlineStr">
        <is>
          <t>階数</t>
        </is>
      </c>
      <c r="J13" s="11">
        <f>"地上 "&amp;入力シート!B14&amp;"階"</f>
        <v/>
      </c>
      <c r="K13" s="2" t="n"/>
      <c r="L13" s="2" t="n"/>
      <c r="M13" s="2" t="n"/>
      <c r="N13" s="2" t="n"/>
      <c r="O13" s="2" t="n"/>
      <c r="P13" s="2" t="n"/>
      <c r="Q13" s="2" t="n"/>
      <c r="R13" s="2" t="n"/>
    </row>
    <row r="14">
      <c r="A14" s="14" t="inlineStr">
        <is>
          <t>住戸数</t>
        </is>
      </c>
      <c r="B14" s="11">
        <f>"全住戸数　"&amp;入力シート!B20&amp;"戸"</f>
        <v/>
      </c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</row>
    <row r="15">
      <c r="A15" s="14" t="inlineStr">
        <is>
          <t>住戸用受信機</t>
        </is>
      </c>
      <c r="B15" s="2" t="n"/>
      <c r="C15" s="2" t="n"/>
      <c r="D15" s="3" t="inlineStr">
        <is>
          <t>非蓄積式・蓄積式・自動試験機能付き・遠隔試験機能付き・その他（　）</t>
        </is>
      </c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</row>
    <row r="16">
      <c r="A16" s="2" t="n"/>
      <c r="B16" s="2" t="n"/>
      <c r="C16" s="2" t="n"/>
      <c r="D16" s="14" t="inlineStr">
        <is>
          <t>定格電圧</t>
        </is>
      </c>
      <c r="E16" s="2" t="n"/>
      <c r="F16" s="3" t="inlineStr">
        <is>
          <t>ＡＣ　100　Ｖ　・　ＤＣ　　Ｖ</t>
        </is>
      </c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</row>
    <row r="17">
      <c r="A17" s="2" t="n"/>
      <c r="B17" s="2" t="n"/>
      <c r="C17" s="2" t="n"/>
      <c r="D17" s="14" t="inlineStr">
        <is>
          <t>予備電源</t>
        </is>
      </c>
      <c r="E17" s="2" t="n"/>
      <c r="F17" s="3" t="inlineStr">
        <is>
          <t>NiCd・その他（　）　Ｖ　　ＡＨ</t>
        </is>
      </c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</row>
    <row r="18">
      <c r="A18" s="14" t="inlineStr">
        <is>
          <t>共用部分</t>
        </is>
      </c>
      <c r="B18" s="3" t="inlineStr">
        <is>
          <t>住戸用自動火災報知設備・共同住宅用非常警報設備・その他（　）</t>
        </is>
      </c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</row>
    <row r="19">
      <c r="A19" s="14" t="inlineStr">
        <is>
          <t>中継器</t>
        </is>
      </c>
      <c r="B19" s="2" t="n"/>
      <c r="C19" s="3" t="inlineStr">
        <is>
          <t>蓄積式・自動試験機能付き・遠隔試験機能付き・他（　）　回線</t>
        </is>
      </c>
      <c r="D19" s="2" t="n"/>
      <c r="E19" s="2" t="n"/>
      <c r="F19" s="2" t="n"/>
      <c r="G19" s="2" t="n"/>
      <c r="H19" s="2" t="n"/>
      <c r="I19" s="2" t="n"/>
      <c r="J19" s="3" t="inlineStr">
        <is>
          <t>予備電源 有(V AH)・無</t>
        </is>
      </c>
      <c r="K19" s="2" t="n"/>
      <c r="L19" s="2" t="n"/>
      <c r="M19" s="2" t="n"/>
      <c r="N19" s="2" t="n"/>
      <c r="O19" s="11">
        <f>"設置台数  "&amp;入力シート!B20&amp;"台"</f>
        <v/>
      </c>
      <c r="P19" s="2" t="n"/>
      <c r="Q19" s="2" t="n"/>
      <c r="R19" s="2" t="n"/>
    </row>
    <row r="20">
      <c r="A20" s="2" t="n"/>
      <c r="B20" s="2" t="n"/>
      <c r="C20" s="3" t="inlineStr">
        <is>
          <t>蓄積式・自動試験機能付き・遠隔試験機能付き・他（　）　回線</t>
        </is>
      </c>
      <c r="D20" s="2" t="n"/>
      <c r="E20" s="2" t="n"/>
      <c r="F20" s="2" t="n"/>
      <c r="G20" s="2" t="n"/>
      <c r="H20" s="2" t="n"/>
      <c r="I20" s="2" t="n"/>
      <c r="J20" s="3" t="inlineStr">
        <is>
          <t>予備電源 有(V AH)・無</t>
        </is>
      </c>
      <c r="K20" s="2" t="n"/>
      <c r="L20" s="2" t="n"/>
      <c r="M20" s="2" t="n"/>
      <c r="N20" s="2" t="n"/>
      <c r="O20" s="7" t="inlineStr">
        <is>
          <t>設置台数　　台</t>
        </is>
      </c>
      <c r="P20" s="2" t="n"/>
      <c r="Q20" s="2" t="n"/>
      <c r="R20" s="2" t="n"/>
    </row>
    <row r="21">
      <c r="A21" s="2" t="n"/>
      <c r="B21" s="2" t="n"/>
      <c r="C21" s="3" t="inlineStr">
        <is>
          <t>蓄積式・自動試験機能付き・遠隔試験機能付き・他（　）　回線</t>
        </is>
      </c>
      <c r="D21" s="2" t="n"/>
      <c r="E21" s="2" t="n"/>
      <c r="F21" s="2" t="n"/>
      <c r="G21" s="2" t="n"/>
      <c r="H21" s="2" t="n"/>
      <c r="I21" s="2" t="n"/>
      <c r="J21" s="3" t="inlineStr">
        <is>
          <t>予備電源 有(V AH)・無</t>
        </is>
      </c>
      <c r="K21" s="2" t="n"/>
      <c r="L21" s="2" t="n"/>
      <c r="M21" s="2" t="n"/>
      <c r="N21" s="2" t="n"/>
      <c r="O21" s="7" t="inlineStr">
        <is>
          <t>設置台数　　台</t>
        </is>
      </c>
      <c r="P21" s="2" t="n"/>
      <c r="Q21" s="2" t="n"/>
      <c r="R21" s="2" t="n"/>
    </row>
    <row r="22">
      <c r="A22" s="2" t="n"/>
      <c r="B22" s="2" t="n"/>
      <c r="C22" s="3" t="inlineStr">
        <is>
          <t>蓄積式・自動試験機能付き・遠隔試験機能付き・他（　）　回線</t>
        </is>
      </c>
      <c r="D22" s="2" t="n"/>
      <c r="E22" s="2" t="n"/>
      <c r="F22" s="2" t="n"/>
      <c r="G22" s="2" t="n"/>
      <c r="H22" s="2" t="n"/>
      <c r="I22" s="2" t="n"/>
      <c r="J22" s="3" t="inlineStr">
        <is>
          <t>予備電源 有(V AH)・無</t>
        </is>
      </c>
      <c r="K22" s="2" t="n"/>
      <c r="L22" s="2" t="n"/>
      <c r="M22" s="2" t="n"/>
      <c r="N22" s="2" t="n"/>
      <c r="O22" s="7" t="inlineStr">
        <is>
          <t>設置台数　　台</t>
        </is>
      </c>
      <c r="P22" s="2" t="n"/>
      <c r="Q22" s="2" t="n"/>
      <c r="R22" s="2" t="n"/>
    </row>
    <row r="23">
      <c r="A23" s="2" t="n"/>
      <c r="B23" s="2" t="n"/>
      <c r="C23" s="3" t="inlineStr">
        <is>
          <t>蓄積式・自動試験機能付き・遠隔試験機能付き・他（　）　回線</t>
        </is>
      </c>
      <c r="D23" s="2" t="n"/>
      <c r="E23" s="2" t="n"/>
      <c r="F23" s="2" t="n"/>
      <c r="G23" s="2" t="n"/>
      <c r="H23" s="2" t="n"/>
      <c r="I23" s="2" t="n"/>
      <c r="J23" s="3" t="inlineStr">
        <is>
          <t>予備電源 有(V AH)・無</t>
        </is>
      </c>
      <c r="K23" s="2" t="n"/>
      <c r="L23" s="2" t="n"/>
      <c r="M23" s="2" t="n"/>
      <c r="N23" s="2" t="n"/>
      <c r="O23" s="7" t="inlineStr">
        <is>
          <t>設置台数　　台</t>
        </is>
      </c>
      <c r="P23" s="2" t="n"/>
      <c r="Q23" s="2" t="n"/>
      <c r="R23" s="2" t="n"/>
    </row>
    <row r="24">
      <c r="A24" s="14" t="inlineStr">
        <is>
          <t>感知器</t>
        </is>
      </c>
      <c r="B24" s="2" t="n"/>
      <c r="C24" s="14" t="inlineStr">
        <is>
          <t>機　種</t>
        </is>
      </c>
      <c r="D24" s="2" t="n"/>
      <c r="E24" s="2" t="n"/>
      <c r="F24" s="2" t="n"/>
      <c r="G24" s="2" t="n"/>
      <c r="H24" s="2" t="n"/>
      <c r="I24" s="2" t="n"/>
      <c r="J24" s="14" t="inlineStr">
        <is>
          <t>自</t>
        </is>
      </c>
      <c r="K24" s="14" t="inlineStr">
        <is>
          <t>遠</t>
        </is>
      </c>
      <c r="L24" s="14" t="inlineStr">
        <is>
          <t>種別</t>
        </is>
      </c>
      <c r="M24" s="2" t="n"/>
      <c r="N24" s="2" t="n"/>
      <c r="O24" s="2" t="n"/>
      <c r="P24" s="14" t="inlineStr">
        <is>
          <t>個数</t>
        </is>
      </c>
      <c r="Q24" s="2" t="n"/>
      <c r="R24" s="2" t="n"/>
    </row>
    <row r="25">
      <c r="A25" s="2" t="n"/>
      <c r="B25" s="2" t="n"/>
      <c r="C25" s="6" t="n"/>
      <c r="D25" s="2" t="n"/>
      <c r="E25" s="2" t="n"/>
      <c r="F25" s="2" t="n"/>
      <c r="G25" s="2" t="n"/>
      <c r="H25" s="2" t="n"/>
      <c r="I25" s="2" t="n"/>
      <c r="J25" s="6" t="n"/>
      <c r="K25" s="6" t="n"/>
      <c r="L25" s="6" t="n"/>
      <c r="M25" s="2" t="n"/>
      <c r="N25" s="2" t="n"/>
      <c r="O25" s="2" t="n"/>
      <c r="P25" s="6" t="n"/>
      <c r="Q25" s="2" t="n"/>
      <c r="R25" s="2" t="n"/>
    </row>
    <row r="26">
      <c r="A26" s="2" t="n"/>
      <c r="B26" s="2" t="n"/>
      <c r="C26" s="6" t="n"/>
      <c r="D26" s="2" t="n"/>
      <c r="E26" s="2" t="n"/>
      <c r="F26" s="2" t="n"/>
      <c r="G26" s="2" t="n"/>
      <c r="H26" s="2" t="n"/>
      <c r="I26" s="2" t="n"/>
      <c r="J26" s="6" t="n"/>
      <c r="K26" s="6" t="n"/>
      <c r="L26" s="6" t="n"/>
      <c r="M26" s="2" t="n"/>
      <c r="N26" s="2" t="n"/>
      <c r="O26" s="2" t="n"/>
      <c r="P26" s="6" t="n"/>
      <c r="Q26" s="2" t="n"/>
      <c r="R26" s="2" t="n"/>
    </row>
    <row r="27">
      <c r="A27" s="2" t="n"/>
      <c r="B27" s="2" t="n"/>
      <c r="C27" s="6" t="n"/>
      <c r="D27" s="2" t="n"/>
      <c r="E27" s="2" t="n"/>
      <c r="F27" s="2" t="n"/>
      <c r="G27" s="2" t="n"/>
      <c r="H27" s="2" t="n"/>
      <c r="I27" s="2" t="n"/>
      <c r="J27" s="6" t="n"/>
      <c r="K27" s="6" t="n"/>
      <c r="L27" s="6" t="n"/>
      <c r="M27" s="2" t="n"/>
      <c r="N27" s="2" t="n"/>
      <c r="O27" s="2" t="n"/>
      <c r="P27" s="6" t="n"/>
      <c r="Q27" s="2" t="n"/>
      <c r="R27" s="2" t="n"/>
    </row>
    <row r="28">
      <c r="A28" s="2" t="n"/>
      <c r="B28" s="2" t="n"/>
      <c r="C28" s="6" t="n"/>
      <c r="D28" s="2" t="n"/>
      <c r="E28" s="2" t="n"/>
      <c r="F28" s="2" t="n"/>
      <c r="G28" s="2" t="n"/>
      <c r="H28" s="2" t="n"/>
      <c r="I28" s="2" t="n"/>
      <c r="J28" s="6" t="n"/>
      <c r="K28" s="6" t="n"/>
      <c r="L28" s="6" t="n"/>
      <c r="M28" s="2" t="n"/>
      <c r="N28" s="2" t="n"/>
      <c r="O28" s="2" t="n"/>
      <c r="P28" s="6" t="n"/>
      <c r="Q28" s="2" t="n"/>
      <c r="R28" s="2" t="n"/>
    </row>
    <row r="29">
      <c r="A29" s="2" t="n"/>
      <c r="B29" s="2" t="n"/>
      <c r="C29" s="6" t="n"/>
      <c r="D29" s="2" t="n"/>
      <c r="E29" s="2" t="n"/>
      <c r="F29" s="2" t="n"/>
      <c r="G29" s="2" t="n"/>
      <c r="H29" s="2" t="n"/>
      <c r="I29" s="2" t="n"/>
      <c r="J29" s="6" t="n"/>
      <c r="K29" s="6" t="n"/>
      <c r="L29" s="6" t="n"/>
      <c r="M29" s="2" t="n"/>
      <c r="N29" s="2" t="n"/>
      <c r="O29" s="2" t="n"/>
      <c r="P29" s="6" t="n"/>
      <c r="Q29" s="2" t="n"/>
      <c r="R29" s="2" t="n"/>
    </row>
    <row r="30">
      <c r="A30" s="2" t="n"/>
      <c r="B30" s="2" t="n"/>
      <c r="C30" s="6" t="n"/>
      <c r="D30" s="2" t="n"/>
      <c r="E30" s="2" t="n"/>
      <c r="F30" s="2" t="n"/>
      <c r="G30" s="2" t="n"/>
      <c r="H30" s="2" t="n"/>
      <c r="I30" s="2" t="n"/>
      <c r="J30" s="6" t="n"/>
      <c r="K30" s="6" t="n"/>
      <c r="L30" s="6" t="n"/>
      <c r="M30" s="2" t="n"/>
      <c r="N30" s="2" t="n"/>
      <c r="O30" s="2" t="n"/>
      <c r="P30" s="6" t="n"/>
      <c r="Q30" s="2" t="n"/>
      <c r="R30" s="2" t="n"/>
    </row>
    <row r="31">
      <c r="A31" s="2" t="n"/>
      <c r="B31" s="2" t="n"/>
      <c r="C31" s="6" t="n"/>
      <c r="D31" s="2" t="n"/>
      <c r="E31" s="2" t="n"/>
      <c r="F31" s="2" t="n"/>
      <c r="G31" s="2" t="n"/>
      <c r="H31" s="2" t="n"/>
      <c r="I31" s="2" t="n"/>
      <c r="J31" s="6" t="n"/>
      <c r="K31" s="6" t="n"/>
      <c r="L31" s="6" t="n"/>
      <c r="M31" s="2" t="n"/>
      <c r="N31" s="2" t="n"/>
      <c r="O31" s="2" t="n"/>
      <c r="P31" s="6" t="n"/>
      <c r="Q31" s="2" t="n"/>
      <c r="R31" s="2" t="n"/>
    </row>
    <row r="32">
      <c r="A32" s="2" t="n"/>
      <c r="B32" s="2" t="n"/>
      <c r="C32" s="6" t="n"/>
      <c r="D32" s="2" t="n"/>
      <c r="E32" s="2" t="n"/>
      <c r="F32" s="2" t="n"/>
      <c r="G32" s="2" t="n"/>
      <c r="H32" s="2" t="n"/>
      <c r="I32" s="2" t="n"/>
      <c r="J32" s="6" t="n"/>
      <c r="K32" s="6" t="n"/>
      <c r="L32" s="6" t="n"/>
      <c r="M32" s="2" t="n"/>
      <c r="N32" s="2" t="n"/>
      <c r="O32" s="2" t="n"/>
      <c r="P32" s="6" t="n"/>
      <c r="Q32" s="2" t="n"/>
      <c r="R32" s="2" t="n"/>
    </row>
    <row r="33">
      <c r="A33" s="2" t="n"/>
      <c r="B33" s="2" t="n"/>
      <c r="C33" s="6" t="n"/>
      <c r="D33" s="2" t="n"/>
      <c r="E33" s="2" t="n"/>
      <c r="F33" s="2" t="n"/>
      <c r="G33" s="2" t="n"/>
      <c r="H33" s="2" t="n"/>
      <c r="I33" s="2" t="n"/>
      <c r="J33" s="6" t="n"/>
      <c r="K33" s="6" t="n"/>
      <c r="L33" s="6" t="n"/>
      <c r="M33" s="2" t="n"/>
      <c r="N33" s="2" t="n"/>
      <c r="O33" s="2" t="n"/>
      <c r="P33" s="6" t="n"/>
      <c r="Q33" s="2" t="n"/>
      <c r="R33" s="2" t="n"/>
    </row>
    <row r="34">
      <c r="A34" s="2" t="n"/>
      <c r="B34" s="2" t="n"/>
      <c r="C34" s="6" t="n"/>
      <c r="D34" s="2" t="n"/>
      <c r="E34" s="2" t="n"/>
      <c r="F34" s="2" t="n"/>
      <c r="G34" s="2" t="n"/>
      <c r="H34" s="2" t="n"/>
      <c r="I34" s="2" t="n"/>
      <c r="J34" s="6" t="n"/>
      <c r="K34" s="6" t="n"/>
      <c r="L34" s="6" t="n"/>
      <c r="M34" s="2" t="n"/>
      <c r="N34" s="2" t="n"/>
      <c r="O34" s="2" t="n"/>
      <c r="P34" s="6" t="n"/>
      <c r="Q34" s="2" t="n"/>
      <c r="R34" s="2" t="n"/>
    </row>
    <row r="35">
      <c r="A35" s="2" t="n"/>
      <c r="B35" s="2" t="n"/>
      <c r="C35" s="6" t="n"/>
      <c r="D35" s="2" t="n"/>
      <c r="E35" s="2" t="n"/>
      <c r="F35" s="2" t="n"/>
      <c r="G35" s="2" t="n"/>
      <c r="H35" s="2" t="n"/>
      <c r="I35" s="2" t="n"/>
      <c r="J35" s="6" t="n"/>
      <c r="K35" s="6" t="n"/>
      <c r="L35" s="6" t="n"/>
      <c r="M35" s="2" t="n"/>
      <c r="N35" s="2" t="n"/>
      <c r="O35" s="2" t="n"/>
      <c r="P35" s="6" t="n"/>
      <c r="Q35" s="2" t="n"/>
      <c r="R35" s="2" t="n"/>
    </row>
    <row r="36">
      <c r="A36" s="2" t="n"/>
      <c r="B36" s="2" t="n"/>
      <c r="C36" s="6" t="n"/>
      <c r="D36" s="2" t="n"/>
      <c r="E36" s="2" t="n"/>
      <c r="F36" s="2" t="n"/>
      <c r="G36" s="2" t="n"/>
      <c r="H36" s="2" t="n"/>
      <c r="I36" s="2" t="n"/>
      <c r="J36" s="6" t="n"/>
      <c r="K36" s="6" t="n"/>
      <c r="L36" s="6" t="n"/>
      <c r="M36" s="2" t="n"/>
      <c r="N36" s="2" t="n"/>
      <c r="O36" s="2" t="n"/>
      <c r="P36" s="6" t="n"/>
      <c r="Q36" s="2" t="n"/>
      <c r="R36" s="2" t="n"/>
    </row>
    <row r="37">
      <c r="A37" s="14" t="inlineStr">
        <is>
          <t>起動装置</t>
        </is>
      </c>
      <c r="B37" s="14" t="inlineStr">
        <is>
          <t>屋内型</t>
        </is>
      </c>
      <c r="C37" s="2" t="n"/>
      <c r="D37" s="2" t="n"/>
      <c r="E37" s="2" t="n"/>
      <c r="F37" s="6" t="n"/>
      <c r="G37" s="2" t="n"/>
      <c r="H37" s="2" t="n"/>
      <c r="I37" s="2" t="n"/>
      <c r="J37" s="14" t="inlineStr">
        <is>
          <t>屋外型</t>
        </is>
      </c>
      <c r="K37" s="2" t="n"/>
      <c r="L37" s="2" t="n"/>
      <c r="M37" s="2" t="n"/>
      <c r="N37" s="11">
        <f>入力シート!B65&amp;"個"</f>
        <v/>
      </c>
      <c r="O37" s="2" t="n"/>
      <c r="P37" s="2" t="n"/>
      <c r="Q37" s="2" t="n"/>
      <c r="R37" s="2" t="n"/>
    </row>
    <row r="38">
      <c r="A38" s="14" t="inlineStr">
        <is>
          <t>音声警報
装置等</t>
        </is>
      </c>
      <c r="B38" s="2" t="n"/>
      <c r="C38" s="14" t="inlineStr">
        <is>
          <t>音声警報装置</t>
        </is>
      </c>
      <c r="D38" s="2" t="n"/>
      <c r="E38" s="2" t="n"/>
      <c r="F38" s="14" t="inlineStr">
        <is>
          <t>Ｌ級</t>
        </is>
      </c>
      <c r="G38" s="6" t="n"/>
      <c r="H38" s="2" t="n"/>
      <c r="I38" s="2" t="n"/>
      <c r="J38" s="14" t="inlineStr">
        <is>
          <t>Ｍ級</t>
        </is>
      </c>
      <c r="K38" s="6" t="n"/>
      <c r="L38" s="2" t="n"/>
      <c r="M38" s="2" t="n"/>
      <c r="N38" s="14" t="inlineStr">
        <is>
          <t>Ｓ級</t>
        </is>
      </c>
      <c r="O38" s="6" t="n"/>
      <c r="P38" s="2" t="n"/>
      <c r="Q38" s="2" t="n"/>
      <c r="R38" s="2" t="n"/>
    </row>
    <row r="39">
      <c r="A39" s="2" t="n"/>
      <c r="B39" s="2" t="n"/>
      <c r="C39" s="14" t="inlineStr">
        <is>
          <t>ベル（サイレン）</t>
        </is>
      </c>
      <c r="D39" s="2" t="n"/>
      <c r="E39" s="2" t="n"/>
      <c r="F39" s="11">
        <f>"電圧DC "&amp;入力シート!B58&amp;"V"</f>
        <v/>
      </c>
      <c r="G39" s="2" t="n"/>
      <c r="H39" s="2" t="n"/>
      <c r="I39" s="2" t="n"/>
      <c r="J39" s="11">
        <f>"電流 "&amp;入力シート!B59&amp;"mA"</f>
        <v/>
      </c>
      <c r="K39" s="2" t="n"/>
      <c r="L39" s="2" t="n"/>
      <c r="M39" s="2" t="n"/>
      <c r="N39" s="14" t="inlineStr">
        <is>
          <t>個数</t>
        </is>
      </c>
      <c r="O39" s="2" t="n"/>
      <c r="P39" s="2" t="n"/>
      <c r="Q39" s="11">
        <f>入力シート!B60</f>
        <v/>
      </c>
      <c r="R39" s="2" t="n"/>
    </row>
    <row r="40">
      <c r="A40" s="2" t="n"/>
      <c r="B40" s="2" t="n"/>
      <c r="C40" s="14" t="inlineStr">
        <is>
          <t>戸外表示器</t>
        </is>
      </c>
      <c r="D40" s="2" t="n"/>
      <c r="E40" s="2" t="n"/>
      <c r="F40" s="14" t="inlineStr">
        <is>
          <t>―――――――</t>
        </is>
      </c>
      <c r="G40" s="2" t="n"/>
      <c r="H40" s="2" t="n"/>
      <c r="I40" s="2" t="n"/>
      <c r="J40" s="2" t="n"/>
      <c r="K40" s="2" t="n"/>
      <c r="L40" s="2" t="n"/>
      <c r="M40" s="2" t="n"/>
      <c r="N40" s="14" t="inlineStr">
        <is>
          <t>個数</t>
        </is>
      </c>
      <c r="O40" s="2" t="n"/>
      <c r="P40" s="2" t="n"/>
      <c r="Q40" s="11">
        <f>入力シート!B20</f>
        <v/>
      </c>
      <c r="R40" s="2" t="n"/>
    </row>
    <row r="41">
      <c r="A41" s="2" t="n"/>
      <c r="B41" s="2" t="n"/>
      <c r="C41" s="14" t="inlineStr">
        <is>
          <t>放送設備との連動</t>
        </is>
      </c>
      <c r="D41" s="2" t="n"/>
      <c r="E41" s="2" t="n"/>
      <c r="F41" s="11">
        <f>入力シート!B90&amp;"　（音声切替装置　"&amp;入力シート!B90&amp;"）"</f>
        <v/>
      </c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</row>
  </sheetData>
  <mergeCells count="91">
    <mergeCell ref="C36:I36"/>
    <mergeCell ref="G38:I38"/>
    <mergeCell ref="A19:B23"/>
    <mergeCell ref="P27:R27"/>
    <mergeCell ref="P36:R36"/>
    <mergeCell ref="L34:O34"/>
    <mergeCell ref="C40:E40"/>
    <mergeCell ref="C19:I19"/>
    <mergeCell ref="I10:R10"/>
    <mergeCell ref="L27:O27"/>
    <mergeCell ref="O23:R23"/>
    <mergeCell ref="C28:I28"/>
    <mergeCell ref="L36:O36"/>
    <mergeCell ref="P28:R28"/>
    <mergeCell ref="I9:R9"/>
    <mergeCell ref="C30:I30"/>
    <mergeCell ref="P30:R30"/>
    <mergeCell ref="L28:O28"/>
    <mergeCell ref="J20:N20"/>
    <mergeCell ref="A15:C17"/>
    <mergeCell ref="J22:N22"/>
    <mergeCell ref="C31:I31"/>
    <mergeCell ref="C21:I21"/>
    <mergeCell ref="C23:I23"/>
    <mergeCell ref="L31:O31"/>
    <mergeCell ref="F37:I37"/>
    <mergeCell ref="Q39:R39"/>
    <mergeCell ref="F40:M40"/>
    <mergeCell ref="C39:E39"/>
    <mergeCell ref="C34:I34"/>
    <mergeCell ref="C38:E38"/>
    <mergeCell ref="F16:R16"/>
    <mergeCell ref="Q40:R40"/>
    <mergeCell ref="A24:B36"/>
    <mergeCell ref="C20:I20"/>
    <mergeCell ref="C29:I29"/>
    <mergeCell ref="P29:R29"/>
    <mergeCell ref="C22:I22"/>
    <mergeCell ref="L30:O30"/>
    <mergeCell ref="F17:R17"/>
    <mergeCell ref="O21:R21"/>
    <mergeCell ref="P31:R31"/>
    <mergeCell ref="B37:E37"/>
    <mergeCell ref="L29:O29"/>
    <mergeCell ref="F39:I39"/>
    <mergeCell ref="C32:I32"/>
    <mergeCell ref="N37:R37"/>
    <mergeCell ref="B12:R12"/>
    <mergeCell ref="N40:P40"/>
    <mergeCell ref="O19:R19"/>
    <mergeCell ref="C24:I24"/>
    <mergeCell ref="L32:O32"/>
    <mergeCell ref="C33:I33"/>
    <mergeCell ref="D17:E17"/>
    <mergeCell ref="B14:R14"/>
    <mergeCell ref="K38:M38"/>
    <mergeCell ref="D15:R15"/>
    <mergeCell ref="P33:R33"/>
    <mergeCell ref="C26:I26"/>
    <mergeCell ref="C35:I35"/>
    <mergeCell ref="O20:R20"/>
    <mergeCell ref="L24:O24"/>
    <mergeCell ref="P35:R35"/>
    <mergeCell ref="C25:I25"/>
    <mergeCell ref="L33:O33"/>
    <mergeCell ref="P25:R25"/>
    <mergeCell ref="B13:H13"/>
    <mergeCell ref="O22:R22"/>
    <mergeCell ref="L26:O26"/>
    <mergeCell ref="L35:O35"/>
    <mergeCell ref="J13:R13"/>
    <mergeCell ref="L25:O25"/>
    <mergeCell ref="C41:E41"/>
    <mergeCell ref="N39:P39"/>
    <mergeCell ref="J19:N19"/>
    <mergeCell ref="O38:R38"/>
    <mergeCell ref="A3:R3"/>
    <mergeCell ref="B18:R18"/>
    <mergeCell ref="P32:R32"/>
    <mergeCell ref="J39:M39"/>
    <mergeCell ref="A5:R5"/>
    <mergeCell ref="A38:B41"/>
    <mergeCell ref="J37:M37"/>
    <mergeCell ref="D16:E16"/>
    <mergeCell ref="P24:R24"/>
    <mergeCell ref="P26:R26"/>
    <mergeCell ref="J21:N21"/>
    <mergeCell ref="F41:R41"/>
    <mergeCell ref="P34:R34"/>
    <mergeCell ref="J23:N23"/>
    <mergeCell ref="C27:I2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C00000"/>
    <outlinePr summaryBelow="1" summaryRight="1"/>
    <pageSetUpPr/>
  </sheetPr>
  <dimension ref="A1:Q48"/>
  <sheetViews>
    <sheetView workbookViewId="0">
      <selection activeCell="A1" sqref="A1"/>
    </sheetView>
  </sheetViews>
  <sheetFormatPr baseColWidth="8" defaultRowHeight="15"/>
  <cols>
    <col width="3" customWidth="1" min="1" max="1"/>
    <col width="5" customWidth="1" min="2" max="2"/>
    <col width="5" customWidth="1" min="3" max="3"/>
    <col width="5" customWidth="1" min="4" max="4"/>
    <col width="5" customWidth="1" min="5" max="5"/>
    <col width="5" customWidth="1" min="6" max="6"/>
    <col width="5" customWidth="1" min="7" max="7"/>
    <col width="5" customWidth="1" min="8" max="8"/>
    <col width="5" customWidth="1" min="9" max="9"/>
    <col width="3" customWidth="1" min="10" max="10"/>
    <col width="3" customWidth="1" min="11" max="11"/>
    <col width="5" customWidth="1" min="12" max="12"/>
    <col width="5" customWidth="1" min="13" max="13"/>
    <col width="5" customWidth="1" min="14" max="14"/>
    <col width="5" customWidth="1" min="15" max="15"/>
    <col width="5" customWidth="1" min="16" max="16"/>
    <col width="5" customWidth="1" min="17" max="17"/>
  </cols>
  <sheetData>
    <row r="1">
      <c r="A1" s="8" t="inlineStr">
        <is>
          <t>別記様式第28</t>
        </is>
      </c>
      <c r="Q1" s="20" t="inlineStr">
        <is>
          <t>①</t>
        </is>
      </c>
    </row>
    <row r="3">
      <c r="A3" s="18" t="inlineStr">
        <is>
          <t>配 線 の 試 験 結 果 報 告 書</t>
        </is>
      </c>
      <c r="B3" s="10" t="n"/>
      <c r="C3" s="10" t="n"/>
      <c r="D3" s="10" t="n"/>
      <c r="E3" s="10" t="n"/>
      <c r="F3" s="10" t="n"/>
      <c r="G3" s="10" t="n"/>
      <c r="H3" s="10" t="n"/>
      <c r="I3" s="10" t="n"/>
      <c r="J3" s="10" t="n"/>
      <c r="K3" s="10" t="n"/>
      <c r="L3" s="10" t="n"/>
      <c r="M3" s="10" t="n"/>
      <c r="N3" s="10" t="n"/>
      <c r="O3" s="10" t="n"/>
      <c r="P3" s="10" t="n"/>
      <c r="Q3" s="10" t="n"/>
    </row>
    <row r="5">
      <c r="A5" s="11">
        <f>"試験実施日　"&amp;入力シート!B86</f>
        <v/>
      </c>
      <c r="B5" s="10" t="n"/>
      <c r="C5" s="10" t="n"/>
      <c r="D5" s="10" t="n"/>
      <c r="E5" s="10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 t="n"/>
      <c r="P5" s="10" t="n"/>
      <c r="Q5" s="10" t="n"/>
    </row>
    <row r="7">
      <c r="F7" s="12" t="inlineStr">
        <is>
          <t>試験実施者</t>
        </is>
      </c>
    </row>
    <row r="9">
      <c r="F9" s="13" t="inlineStr">
        <is>
          <t>住　所</t>
        </is>
      </c>
      <c r="G9" s="11">
        <f>VLOOKUP(入力シート!B36,入力シート!A30:G32,2,FALSE)</f>
        <v/>
      </c>
      <c r="H9" s="10" t="n"/>
      <c r="I9" s="10" t="n"/>
      <c r="J9" s="10" t="n"/>
      <c r="K9" s="10" t="n"/>
      <c r="L9" s="10" t="n"/>
      <c r="M9" s="10" t="n"/>
      <c r="N9" s="10" t="n"/>
      <c r="O9" s="10" t="n"/>
      <c r="P9" s="10" t="n"/>
      <c r="Q9" s="10" t="n"/>
    </row>
    <row r="11">
      <c r="F11" s="13" t="inlineStr">
        <is>
          <t>氏　名</t>
        </is>
      </c>
      <c r="G11" s="11">
        <f>入力シート!B36</f>
        <v/>
      </c>
      <c r="H11" s="10" t="n"/>
      <c r="I11" s="10" t="n"/>
      <c r="J11" s="10" t="n"/>
      <c r="K11" s="10" t="n"/>
      <c r="L11" s="10" t="n"/>
      <c r="M11" s="10" t="n"/>
      <c r="N11" s="10" t="n"/>
      <c r="O11" s="10" t="n"/>
      <c r="P11" s="10" t="n"/>
      <c r="Q11" s="10" t="n"/>
    </row>
    <row r="13">
      <c r="A13" s="14" t="inlineStr">
        <is>
          <t>消防用設備
等の種類</t>
        </is>
      </c>
      <c r="B13" s="2" t="n"/>
      <c r="C13" s="3" t="inlineStr">
        <is>
          <t>屋内消火栓設備　スプリンクラー設備　水噴霧消火設備　泡消火設備</t>
        </is>
      </c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</row>
    <row r="14">
      <c r="A14" s="2" t="n"/>
      <c r="B14" s="2" t="n"/>
      <c r="C14" s="3" t="inlineStr">
        <is>
          <t>不活性ガス消火設備　ハロゲン化物消火設備　粉末消火設備　屋外消火栓設備</t>
        </is>
      </c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</row>
    <row r="15">
      <c r="A15" s="2" t="n"/>
      <c r="B15" s="2" t="n"/>
      <c r="C15" s="3" t="inlineStr">
        <is>
          <t>自動火災報知設備　　ガス漏れ火災警報設備　　漏電火災警報器</t>
        </is>
      </c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</row>
    <row r="16">
      <c r="A16" s="2" t="n"/>
      <c r="B16" s="2" t="n"/>
      <c r="C16" s="3" t="inlineStr">
        <is>
          <t>消防機関へ通報する火災報知設備　非常警報設備　放送設備　誘導灯</t>
        </is>
      </c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</row>
    <row r="17">
      <c r="A17" s="19" t="inlineStr">
        <is>
          <t>試　験　項　目</t>
        </is>
      </c>
      <c r="B17" s="2" t="n"/>
      <c r="C17" s="2" t="n"/>
      <c r="D17" s="2" t="n"/>
      <c r="E17" s="2" t="n"/>
      <c r="F17" s="2" t="n"/>
      <c r="G17" s="2" t="n"/>
      <c r="H17" s="2" t="n"/>
      <c r="I17" s="2" t="n"/>
      <c r="J17" s="19" t="inlineStr">
        <is>
          <t>種別・容量等の内容</t>
        </is>
      </c>
      <c r="K17" s="2" t="n"/>
      <c r="L17" s="2" t="n"/>
      <c r="M17" s="2" t="n"/>
      <c r="N17" s="2" t="n"/>
      <c r="O17" s="2" t="n"/>
      <c r="P17" s="2" t="n"/>
      <c r="Q17" s="19" t="inlineStr">
        <is>
          <t>結果</t>
        </is>
      </c>
    </row>
    <row r="18">
      <c r="A18" s="14" t="inlineStr">
        <is>
          <t>外観試験</t>
        </is>
      </c>
      <c r="B18" s="14" t="inlineStr">
        <is>
          <t>電源回路の
開閉器・遮断器等</t>
        </is>
      </c>
      <c r="C18" s="2" t="n"/>
      <c r="D18" s="2" t="n"/>
      <c r="E18" s="2" t="n"/>
      <c r="F18" s="14" t="inlineStr">
        <is>
          <t>設置場所等</t>
        </is>
      </c>
      <c r="G18" s="2" t="n"/>
      <c r="H18" s="2" t="n"/>
      <c r="I18" s="2" t="n"/>
      <c r="J18" s="14" t="inlineStr">
        <is>
          <t>―――</t>
        </is>
      </c>
      <c r="K18" s="2" t="n"/>
      <c r="L18" s="2" t="n"/>
      <c r="M18" s="2" t="n"/>
      <c r="N18" s="2" t="n"/>
      <c r="O18" s="2" t="n"/>
      <c r="P18" s="2" t="n"/>
      <c r="Q18" s="14" t="inlineStr">
        <is>
          <t>○</t>
        </is>
      </c>
    </row>
    <row r="19">
      <c r="A19" s="2" t="n"/>
      <c r="B19" s="2" t="n"/>
      <c r="C19" s="2" t="n"/>
      <c r="D19" s="2" t="n"/>
      <c r="E19" s="2" t="n"/>
      <c r="F19" s="14" t="inlineStr">
        <is>
          <t>開閉器</t>
        </is>
      </c>
      <c r="G19" s="2" t="n"/>
      <c r="H19" s="2" t="n"/>
      <c r="I19" s="2" t="n"/>
      <c r="J19" s="14" t="inlineStr">
        <is>
          <t>―――</t>
        </is>
      </c>
      <c r="K19" s="2" t="n"/>
      <c r="L19" s="2" t="n"/>
      <c r="M19" s="2" t="n"/>
      <c r="N19" s="2" t="n"/>
      <c r="O19" s="2" t="n"/>
      <c r="P19" s="2" t="n"/>
      <c r="Q19" s="14" t="inlineStr">
        <is>
          <t>／</t>
        </is>
      </c>
    </row>
    <row r="20">
      <c r="A20" s="2" t="n"/>
      <c r="B20" s="2" t="n"/>
      <c r="C20" s="2" t="n"/>
      <c r="D20" s="2" t="n"/>
      <c r="E20" s="2" t="n"/>
      <c r="F20" s="14" t="inlineStr">
        <is>
          <t>遮断器</t>
        </is>
      </c>
      <c r="G20" s="2" t="n"/>
      <c r="H20" s="2" t="n"/>
      <c r="I20" s="2" t="n"/>
      <c r="J20" s="14" t="inlineStr">
        <is>
          <t>―――</t>
        </is>
      </c>
      <c r="K20" s="2" t="n"/>
      <c r="L20" s="2" t="n"/>
      <c r="M20" s="2" t="n"/>
      <c r="N20" s="2" t="n"/>
      <c r="O20" s="2" t="n"/>
      <c r="P20" s="2" t="n"/>
      <c r="Q20" s="14" t="inlineStr">
        <is>
          <t>○</t>
        </is>
      </c>
    </row>
    <row r="21">
      <c r="A21" s="2" t="n"/>
      <c r="B21" s="14" t="inlineStr">
        <is>
          <t>耐火耐熱
保護配線</t>
        </is>
      </c>
      <c r="C21" s="2" t="n"/>
      <c r="D21" s="2" t="n"/>
      <c r="E21" s="2" t="n"/>
      <c r="F21" s="14" t="inlineStr">
        <is>
          <t>保護配線の系路</t>
        </is>
      </c>
      <c r="G21" s="2" t="n"/>
      <c r="H21" s="2" t="n"/>
      <c r="I21" s="2" t="n"/>
      <c r="J21" s="14" t="inlineStr">
        <is>
          <t>電源回路・操作回路・表示灯回路・警報回路</t>
        </is>
      </c>
      <c r="K21" s="2" t="n"/>
      <c r="L21" s="2" t="n"/>
      <c r="M21" s="2" t="n"/>
      <c r="N21" s="2" t="n"/>
      <c r="O21" s="2" t="n"/>
      <c r="P21" s="2" t="n"/>
      <c r="Q21" s="14" t="inlineStr">
        <is>
          <t>○</t>
        </is>
      </c>
    </row>
    <row r="22">
      <c r="A22" s="2" t="n"/>
      <c r="B22" s="2" t="n"/>
      <c r="C22" s="2" t="n"/>
      <c r="D22" s="2" t="n"/>
      <c r="E22" s="2" t="n"/>
      <c r="F22" s="14" t="inlineStr">
        <is>
          <t>電線の種類・太さ</t>
        </is>
      </c>
      <c r="G22" s="2" t="n"/>
      <c r="H22" s="2" t="n"/>
      <c r="I22" s="2" t="n"/>
      <c r="J22" s="14" t="inlineStr">
        <is>
          <t>―――</t>
        </is>
      </c>
      <c r="K22" s="2" t="n"/>
      <c r="L22" s="2" t="n"/>
      <c r="M22" s="2" t="n"/>
      <c r="N22" s="2" t="n"/>
      <c r="O22" s="2" t="n"/>
      <c r="P22" s="2" t="n"/>
      <c r="Q22" s="14" t="inlineStr">
        <is>
          <t>○</t>
        </is>
      </c>
    </row>
    <row r="23">
      <c r="A23" s="2" t="n"/>
      <c r="B23" s="2" t="n"/>
      <c r="C23" s="2" t="n"/>
      <c r="D23" s="2" t="n"/>
      <c r="E23" s="2" t="n"/>
      <c r="F23" s="14" t="inlineStr">
        <is>
          <t>配線方法</t>
        </is>
      </c>
      <c r="G23" s="2" t="n"/>
      <c r="H23" s="2" t="n"/>
      <c r="I23" s="2" t="n"/>
      <c r="J23" s="14" t="inlineStr">
        <is>
          <t>―――</t>
        </is>
      </c>
      <c r="K23" s="2" t="n"/>
      <c r="L23" s="2" t="n"/>
      <c r="M23" s="2" t="n"/>
      <c r="N23" s="2" t="n"/>
      <c r="O23" s="2" t="n"/>
      <c r="P23" s="2" t="n"/>
      <c r="Q23" s="14" t="inlineStr">
        <is>
          <t>○</t>
        </is>
      </c>
    </row>
    <row r="24">
      <c r="A24" s="2" t="n"/>
      <c r="B24" s="2" t="n"/>
      <c r="C24" s="2" t="n"/>
      <c r="D24" s="2" t="n"/>
      <c r="E24" s="2" t="n"/>
      <c r="F24" s="14" t="inlineStr">
        <is>
          <t>接続</t>
        </is>
      </c>
      <c r="G24" s="2" t="n"/>
      <c r="H24" s="2" t="n"/>
      <c r="I24" s="2" t="n"/>
      <c r="J24" s="14" t="inlineStr">
        <is>
          <t>―――</t>
        </is>
      </c>
      <c r="K24" s="2" t="n"/>
      <c r="L24" s="2" t="n"/>
      <c r="M24" s="2" t="n"/>
      <c r="N24" s="2" t="n"/>
      <c r="O24" s="2" t="n"/>
      <c r="P24" s="2" t="n"/>
      <c r="Q24" s="14" t="inlineStr">
        <is>
          <t>○</t>
        </is>
      </c>
    </row>
    <row r="25">
      <c r="A25" s="2" t="n"/>
      <c r="B25" s="2" t="n"/>
      <c r="C25" s="2" t="n"/>
      <c r="D25" s="2" t="n"/>
      <c r="E25" s="2" t="n"/>
      <c r="F25" s="14" t="inlineStr">
        <is>
          <t>工事方法</t>
        </is>
      </c>
      <c r="G25" s="2" t="n"/>
      <c r="H25" s="2" t="n"/>
      <c r="I25" s="2" t="n"/>
      <c r="J25" s="14" t="inlineStr">
        <is>
          <t>―――</t>
        </is>
      </c>
      <c r="K25" s="2" t="n"/>
      <c r="L25" s="2" t="n"/>
      <c r="M25" s="2" t="n"/>
      <c r="N25" s="2" t="n"/>
      <c r="O25" s="2" t="n"/>
      <c r="P25" s="2" t="n"/>
      <c r="Q25" s="14" t="inlineStr">
        <is>
          <t>○</t>
        </is>
      </c>
    </row>
    <row r="26">
      <c r="A26" s="2" t="n"/>
      <c r="B26" s="14" t="inlineStr">
        <is>
          <t>配線（耐火耐熱
保護配線を除く）</t>
        </is>
      </c>
      <c r="C26" s="2" t="n"/>
      <c r="D26" s="2" t="n"/>
      <c r="E26" s="2" t="n"/>
      <c r="F26" s="14" t="inlineStr">
        <is>
          <t>電線の種類・太さ</t>
        </is>
      </c>
      <c r="G26" s="2" t="n"/>
      <c r="H26" s="2" t="n"/>
      <c r="I26" s="2" t="n"/>
      <c r="J26" s="14" t="inlineStr">
        <is>
          <t>―――</t>
        </is>
      </c>
      <c r="K26" s="2" t="n"/>
      <c r="L26" s="2" t="n"/>
      <c r="M26" s="2" t="n"/>
      <c r="N26" s="2" t="n"/>
      <c r="O26" s="2" t="n"/>
      <c r="P26" s="2" t="n"/>
      <c r="Q26" s="14" t="inlineStr">
        <is>
          <t>○</t>
        </is>
      </c>
    </row>
    <row r="27">
      <c r="A27" s="2" t="n"/>
      <c r="B27" s="2" t="n"/>
      <c r="C27" s="2" t="n"/>
      <c r="D27" s="2" t="n"/>
      <c r="E27" s="2" t="n"/>
      <c r="F27" s="14" t="inlineStr">
        <is>
          <t>配線方法</t>
        </is>
      </c>
      <c r="G27" s="2" t="n"/>
      <c r="H27" s="2" t="n"/>
      <c r="I27" s="2" t="n"/>
      <c r="J27" s="14" t="inlineStr">
        <is>
          <t>―――</t>
        </is>
      </c>
      <c r="K27" s="2" t="n"/>
      <c r="L27" s="2" t="n"/>
      <c r="M27" s="2" t="n"/>
      <c r="N27" s="2" t="n"/>
      <c r="O27" s="2" t="n"/>
      <c r="P27" s="2" t="n"/>
      <c r="Q27" s="14" t="inlineStr">
        <is>
          <t>○</t>
        </is>
      </c>
    </row>
    <row r="28">
      <c r="A28" s="2" t="n"/>
      <c r="B28" s="2" t="n"/>
      <c r="C28" s="2" t="n"/>
      <c r="D28" s="2" t="n"/>
      <c r="E28" s="2" t="n"/>
      <c r="F28" s="14" t="inlineStr">
        <is>
          <t>接続</t>
        </is>
      </c>
      <c r="G28" s="2" t="n"/>
      <c r="H28" s="2" t="n"/>
      <c r="I28" s="2" t="n"/>
      <c r="J28" s="14" t="inlineStr">
        <is>
          <t>―――</t>
        </is>
      </c>
      <c r="K28" s="2" t="n"/>
      <c r="L28" s="2" t="n"/>
      <c r="M28" s="2" t="n"/>
      <c r="N28" s="2" t="n"/>
      <c r="O28" s="2" t="n"/>
      <c r="P28" s="2" t="n"/>
      <c r="Q28" s="14" t="inlineStr">
        <is>
          <t>○</t>
        </is>
      </c>
    </row>
    <row r="29">
      <c r="A29" s="2" t="n"/>
      <c r="B29" s="14" t="inlineStr">
        <is>
          <t>耐震措置</t>
        </is>
      </c>
      <c r="C29" s="2" t="n"/>
      <c r="D29" s="2" t="n"/>
      <c r="E29" s="2" t="n"/>
      <c r="F29" s="2" t="n"/>
      <c r="G29" s="2" t="n"/>
      <c r="H29" s="2" t="n"/>
      <c r="I29" s="2" t="n"/>
      <c r="J29" s="14" t="inlineStr">
        <is>
          <t>―――</t>
        </is>
      </c>
      <c r="K29" s="2" t="n"/>
      <c r="L29" s="2" t="n"/>
      <c r="M29" s="2" t="n"/>
      <c r="N29" s="2" t="n"/>
      <c r="O29" s="2" t="n"/>
      <c r="P29" s="2" t="n"/>
      <c r="Q29" s="14" t="inlineStr">
        <is>
          <t>／</t>
        </is>
      </c>
    </row>
    <row r="30">
      <c r="A30" s="14" t="inlineStr">
        <is>
          <t>機能試験</t>
        </is>
      </c>
      <c r="B30" s="14" t="inlineStr">
        <is>
          <t>接地抵抗試験</t>
        </is>
      </c>
      <c r="C30" s="2" t="n"/>
      <c r="D30" s="2" t="n"/>
      <c r="E30" s="2" t="n"/>
      <c r="F30" s="14" t="inlineStr">
        <is>
          <t>電圧の種別</t>
        </is>
      </c>
      <c r="G30" s="2" t="n"/>
      <c r="H30" s="2" t="n"/>
      <c r="I30" s="2" t="n"/>
      <c r="J30" s="14" t="inlineStr">
        <is>
          <t>低圧・高圧・特別高圧</t>
        </is>
      </c>
      <c r="K30" s="2" t="n"/>
      <c r="L30" s="2" t="n"/>
      <c r="M30" s="2" t="n"/>
      <c r="N30" s="2" t="n"/>
      <c r="O30" s="2" t="n"/>
      <c r="P30" s="2" t="n"/>
      <c r="Q30" s="14" t="inlineStr">
        <is>
          <t>／</t>
        </is>
      </c>
    </row>
    <row r="31">
      <c r="A31" s="2" t="n"/>
      <c r="B31" s="2" t="n"/>
      <c r="C31" s="2" t="n"/>
      <c r="D31" s="2" t="n"/>
      <c r="E31" s="2" t="n"/>
      <c r="F31" s="14" t="inlineStr">
        <is>
          <t>接地抵抗値</t>
        </is>
      </c>
      <c r="G31" s="2" t="n"/>
      <c r="H31" s="2" t="n"/>
      <c r="I31" s="2" t="n"/>
      <c r="J31" s="6" t="n"/>
      <c r="K31" s="2" t="n"/>
      <c r="L31" s="2" t="n"/>
      <c r="M31" s="2" t="n"/>
      <c r="N31" s="2" t="n"/>
      <c r="O31" s="2" t="n"/>
      <c r="P31" s="2" t="n"/>
      <c r="Q31" s="14" t="inlineStr">
        <is>
          <t>／</t>
        </is>
      </c>
    </row>
    <row r="32">
      <c r="A32" s="2" t="n"/>
      <c r="B32" s="14" t="inlineStr">
        <is>
          <t>絶縁抵抗試験</t>
        </is>
      </c>
      <c r="C32" s="2" t="n"/>
      <c r="D32" s="2" t="n"/>
      <c r="E32" s="2" t="n"/>
      <c r="F32" s="14" t="inlineStr">
        <is>
          <t>電源回路</t>
        </is>
      </c>
      <c r="G32" s="2" t="n"/>
      <c r="H32" s="2" t="n"/>
      <c r="I32" s="2" t="n"/>
      <c r="J32" s="11">
        <f>入力シート!B73</f>
        <v/>
      </c>
      <c r="K32" s="2" t="n"/>
      <c r="L32" s="2" t="n"/>
      <c r="M32" s="2" t="n"/>
      <c r="N32" s="11">
        <f>入力シート!B74</f>
        <v/>
      </c>
      <c r="O32" s="2" t="n"/>
      <c r="P32" s="2" t="n"/>
      <c r="Q32" s="14" t="inlineStr">
        <is>
          <t>○</t>
        </is>
      </c>
    </row>
    <row r="33">
      <c r="A33" s="2" t="n"/>
      <c r="B33" s="2" t="n"/>
      <c r="C33" s="2" t="n"/>
      <c r="D33" s="2" t="n"/>
      <c r="E33" s="2" t="n"/>
      <c r="F33" s="14" t="inlineStr">
        <is>
          <t>操作回路</t>
        </is>
      </c>
      <c r="G33" s="2" t="n"/>
      <c r="H33" s="2" t="n"/>
      <c r="I33" s="2" t="n"/>
      <c r="J33" s="11">
        <f>入力シート!B75</f>
        <v/>
      </c>
      <c r="K33" s="2" t="n"/>
      <c r="L33" s="2" t="n"/>
      <c r="M33" s="2" t="n"/>
      <c r="N33" s="11">
        <f>入力シート!B76</f>
        <v/>
      </c>
      <c r="O33" s="2" t="n"/>
      <c r="P33" s="2" t="n"/>
      <c r="Q33" s="14" t="inlineStr">
        <is>
          <t>○</t>
        </is>
      </c>
    </row>
    <row r="34">
      <c r="A34" s="2" t="n"/>
      <c r="B34" s="2" t="n"/>
      <c r="C34" s="2" t="n"/>
      <c r="D34" s="2" t="n"/>
      <c r="E34" s="2" t="n"/>
      <c r="F34" s="14" t="inlineStr">
        <is>
          <t>表示灯回路</t>
        </is>
      </c>
      <c r="G34" s="2" t="n"/>
      <c r="H34" s="2" t="n"/>
      <c r="I34" s="2" t="n"/>
      <c r="J34" s="11">
        <f>入力シート!B77</f>
        <v/>
      </c>
      <c r="K34" s="2" t="n"/>
      <c r="L34" s="2" t="n"/>
      <c r="M34" s="2" t="n"/>
      <c r="N34" s="11">
        <f>入力シート!B78</f>
        <v/>
      </c>
      <c r="O34" s="2" t="n"/>
      <c r="P34" s="2" t="n"/>
      <c r="Q34" s="14" t="inlineStr">
        <is>
          <t>○</t>
        </is>
      </c>
    </row>
    <row r="35">
      <c r="A35" s="2" t="n"/>
      <c r="B35" s="2" t="n"/>
      <c r="C35" s="2" t="n"/>
      <c r="D35" s="2" t="n"/>
      <c r="E35" s="2" t="n"/>
      <c r="F35" s="14" t="inlineStr">
        <is>
          <t>警報回路</t>
        </is>
      </c>
      <c r="G35" s="2" t="n"/>
      <c r="H35" s="2" t="n"/>
      <c r="I35" s="2" t="n"/>
      <c r="J35" s="11">
        <f>入力シート!B79</f>
        <v/>
      </c>
      <c r="K35" s="2" t="n"/>
      <c r="L35" s="2" t="n"/>
      <c r="M35" s="2" t="n"/>
      <c r="N35" s="11">
        <f>入力シート!B80</f>
        <v/>
      </c>
      <c r="O35" s="2" t="n"/>
      <c r="P35" s="2" t="n"/>
      <c r="Q35" s="14" t="inlineStr">
        <is>
          <t>○</t>
        </is>
      </c>
    </row>
    <row r="36">
      <c r="A36" s="2" t="n"/>
    </row>
    <row r="37">
      <c r="A37" s="2" t="n"/>
    </row>
    <row r="38">
      <c r="A38" s="8" t="inlineStr">
        <is>
          <t>配線</t>
        </is>
      </c>
      <c r="Q38" s="20" t="inlineStr">
        <is>
          <t>②</t>
        </is>
      </c>
    </row>
    <row r="39">
      <c r="A39" s="19" t="inlineStr">
        <is>
          <t>試　験　項　目</t>
        </is>
      </c>
      <c r="B39" s="2" t="n"/>
      <c r="C39" s="2" t="n"/>
      <c r="D39" s="2" t="n"/>
      <c r="E39" s="2" t="n"/>
      <c r="F39" s="2" t="n"/>
      <c r="G39" s="2" t="n"/>
      <c r="H39" s="2" t="n"/>
      <c r="I39" s="2" t="n"/>
      <c r="J39" s="19" t="inlineStr">
        <is>
          <t>種別・容量等の内容</t>
        </is>
      </c>
      <c r="K39" s="2" t="n"/>
      <c r="L39" s="2" t="n"/>
      <c r="M39" s="2" t="n"/>
      <c r="N39" s="2" t="n"/>
      <c r="O39" s="2" t="n"/>
      <c r="P39" s="2" t="n"/>
      <c r="Q39" s="19" t="inlineStr">
        <is>
          <t>結果</t>
        </is>
      </c>
    </row>
    <row r="40">
      <c r="A40" s="14" t="inlineStr">
        <is>
          <t>機能試験</t>
        </is>
      </c>
      <c r="B40" s="14" t="inlineStr">
        <is>
          <t>絶縁抵抗試験</t>
        </is>
      </c>
      <c r="C40" s="2" t="n"/>
      <c r="D40" s="2" t="n"/>
      <c r="E40" s="2" t="n"/>
      <c r="F40" s="14" t="inlineStr">
        <is>
          <t>感知器回路</t>
        </is>
      </c>
      <c r="G40" s="2" t="n"/>
      <c r="H40" s="2" t="n"/>
      <c r="I40" s="2" t="n"/>
      <c r="J40" s="11">
        <f>入力シート!B81</f>
        <v/>
      </c>
      <c r="K40" s="2" t="n"/>
      <c r="L40" s="2" t="n"/>
      <c r="M40" s="2" t="n"/>
      <c r="N40" s="11">
        <f>入力シート!B82</f>
        <v/>
      </c>
      <c r="O40" s="2" t="n"/>
      <c r="P40" s="2" t="n"/>
      <c r="Q40" s="14" t="inlineStr">
        <is>
          <t>○</t>
        </is>
      </c>
    </row>
    <row r="41">
      <c r="A41" s="2" t="n"/>
      <c r="B41" s="2" t="n"/>
      <c r="C41" s="2" t="n"/>
      <c r="D41" s="2" t="n"/>
      <c r="E41" s="2" t="n"/>
      <c r="F41" s="14" t="inlineStr">
        <is>
          <t>付属装置回路等</t>
        </is>
      </c>
      <c r="G41" s="2" t="n"/>
      <c r="H41" s="2" t="n"/>
      <c r="I41" s="2" t="n"/>
      <c r="J41" s="6" t="n"/>
      <c r="K41" s="2" t="n"/>
      <c r="L41" s="2" t="n"/>
      <c r="M41" s="2" t="n"/>
      <c r="N41" s="2" t="n"/>
      <c r="O41" s="2" t="n"/>
      <c r="P41" s="2" t="n"/>
      <c r="Q41" s="14" t="inlineStr">
        <is>
          <t>／</t>
        </is>
      </c>
    </row>
    <row r="42">
      <c r="A42" s="2" t="n"/>
      <c r="B42" s="14" t="inlineStr">
        <is>
          <t>絶縁耐力試験</t>
        </is>
      </c>
      <c r="C42" s="2" t="n"/>
      <c r="D42" s="2" t="n"/>
      <c r="E42" s="2" t="n"/>
      <c r="F42" s="2" t="n"/>
      <c r="G42" s="2" t="n"/>
      <c r="H42" s="2" t="n"/>
      <c r="I42" s="2" t="n"/>
      <c r="J42" s="14" t="n"/>
      <c r="K42" s="2" t="n"/>
      <c r="L42" s="2" t="n"/>
      <c r="M42" s="2" t="n"/>
      <c r="N42" s="2" t="n"/>
      <c r="O42" s="2" t="n"/>
      <c r="P42" s="2" t="n"/>
      <c r="Q42" s="14" t="inlineStr">
        <is>
          <t>／</t>
        </is>
      </c>
    </row>
    <row r="44">
      <c r="A44" s="11">
        <f>"備考\n試験実施者が有している資格：\n"</f>
        <v/>
      </c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</row>
    <row r="48">
      <c r="A48" s="8" t="inlineStr">
        <is>
          <t>備考　１　この用紙の大きさは、日本産業規格Ａ４とすること。</t>
        </is>
      </c>
    </row>
  </sheetData>
  <mergeCells count="70">
    <mergeCell ref="B32:E35"/>
    <mergeCell ref="J41:P41"/>
    <mergeCell ref="F31:I31"/>
    <mergeCell ref="F27:I27"/>
    <mergeCell ref="J31:P31"/>
    <mergeCell ref="N33:P33"/>
    <mergeCell ref="J22:P22"/>
    <mergeCell ref="C16:Q16"/>
    <mergeCell ref="G11:Q11"/>
    <mergeCell ref="J21:P21"/>
    <mergeCell ref="J33:M33"/>
    <mergeCell ref="J42:P42"/>
    <mergeCell ref="J18:P18"/>
    <mergeCell ref="A30:A37"/>
    <mergeCell ref="J23:P23"/>
    <mergeCell ref="B26:E28"/>
    <mergeCell ref="J39:P39"/>
    <mergeCell ref="J17:P17"/>
    <mergeCell ref="B42:I42"/>
    <mergeCell ref="A17:I17"/>
    <mergeCell ref="N40:P40"/>
    <mergeCell ref="J29:P29"/>
    <mergeCell ref="F19:I19"/>
    <mergeCell ref="F25:I25"/>
    <mergeCell ref="A13:B16"/>
    <mergeCell ref="F34:I34"/>
    <mergeCell ref="N34:P34"/>
    <mergeCell ref="A40:A42"/>
    <mergeCell ref="J25:P25"/>
    <mergeCell ref="J28:P28"/>
    <mergeCell ref="J19:P19"/>
    <mergeCell ref="A44:Q47"/>
    <mergeCell ref="F28:I28"/>
    <mergeCell ref="F40:I40"/>
    <mergeCell ref="B29:I29"/>
    <mergeCell ref="A3:Q3"/>
    <mergeCell ref="J40:M40"/>
    <mergeCell ref="C13:Q13"/>
    <mergeCell ref="F24:I24"/>
    <mergeCell ref="F30:I30"/>
    <mergeCell ref="F21:I21"/>
    <mergeCell ref="J30:P30"/>
    <mergeCell ref="J34:M34"/>
    <mergeCell ref="N35:P35"/>
    <mergeCell ref="A39:I39"/>
    <mergeCell ref="J32:M32"/>
    <mergeCell ref="F20:I20"/>
    <mergeCell ref="J24:P24"/>
    <mergeCell ref="F33:I33"/>
    <mergeCell ref="A5:Q5"/>
    <mergeCell ref="B40:E41"/>
    <mergeCell ref="B18:E20"/>
    <mergeCell ref="F18:I18"/>
    <mergeCell ref="B30:E31"/>
    <mergeCell ref="C15:Q15"/>
    <mergeCell ref="F26:I26"/>
    <mergeCell ref="J27:P27"/>
    <mergeCell ref="F32:I32"/>
    <mergeCell ref="N32:P32"/>
    <mergeCell ref="F35:I35"/>
    <mergeCell ref="B21:E25"/>
    <mergeCell ref="F41:I41"/>
    <mergeCell ref="C14:Q14"/>
    <mergeCell ref="J26:P26"/>
    <mergeCell ref="J35:M35"/>
    <mergeCell ref="J20:P20"/>
    <mergeCell ref="A18:A29"/>
    <mergeCell ref="F23:I23"/>
    <mergeCell ref="G9:Q9"/>
    <mergeCell ref="F22:I22"/>
  </mergeCells>
  <dataValidations count="1">
    <dataValidation sqref="Q21 Q22 Q23 Q24 Q25 Q26 Q27 Q28 Q32 Q33 Q34 Q35 Q40" showDropDown="0" showInputMessage="0" showErrorMessage="0" allowBlank="1" type="list">
      <formula1>"○,×,／"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2026-06-18T03:01:06Z</dcterms:created>
  <dcterms:modified xmlns:dcterms="http://purl.org/dc/terms/" xmlns:xsi="http://www.w3.org/2001/XMLSchema-instance" xsi:type="dcterms:W3CDTF">2026-06-18T03:01:06Z</dcterms:modified>
</cp:coreProperties>
</file>