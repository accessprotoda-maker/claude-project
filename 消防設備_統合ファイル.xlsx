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面積概要表" sheetId="2" state="visible" r:id="rId2"/>
    <sheet name="共用部【その1】" sheetId="3" state="visible" r:id="rId3"/>
    <sheet name="共用部【その2】 " sheetId="4" state="visible" r:id="rId4"/>
    <sheet name="住戸部【その1】" sheetId="5" state="visible" r:id="rId5"/>
    <sheet name="住戸部【その2】" sheetId="6" state="visible" r:id="rId6"/>
    <sheet name="設置" sheetId="7" state="visible" r:id="rId7"/>
    <sheet name="共同住宅用自動火災報知設備" sheetId="8" state="visible" r:id="rId8"/>
    <sheet name="住戸・共同住宅用自動火災報知設備" sheetId="9" state="visible" r:id="rId9"/>
    <sheet name="自動火災報知設備その１" sheetId="10" state="visible" r:id="rId10"/>
    <sheet name="自動火災報知設備その２" sheetId="11" state="visible" r:id="rId11"/>
    <sheet name="火報_その1" sheetId="12" state="visible" r:id="rId12"/>
    <sheet name="火報_その2" sheetId="13" state="visible" r:id="rId13"/>
    <sheet name="火報_その３" sheetId="14" state="visible" r:id="rId14"/>
    <sheet name="火報_その4" sheetId="15" state="visible" r:id="rId15"/>
  </sheets>
  <definedNames>
    <definedName name="_xlnm.Print_Area" localSheetId="0">'表紙'!$A$1:$R$34</definedName>
    <definedName name="_xlnm.Print_Area" localSheetId="1">'面積概要表'!$A$1:$M$32</definedName>
    <definedName name="_xlnm.Print_Area" localSheetId="2">'共用部【その1】'!$A$1:$M$38</definedName>
    <definedName name="_xlnm.Print_Area" localSheetId="3">'共用部【その2】 '!$A$1:$M$42</definedName>
    <definedName name="_xlnm.Print_Area" localSheetId="4">'住戸部【その1】'!$A$1:$M$38</definedName>
    <definedName name="_xlnm.Print_Area" localSheetId="5">'住戸部【その2】'!$A$1:$M$42</definedName>
    <definedName name="_xlnm.Print_Area" localSheetId="6">'設置'!$A$1:$S$40</definedName>
    <definedName name="_xlnm.Print_Area" localSheetId="7">'共同住宅用自動火災報知設備'!$A$1:$R$120</definedName>
    <definedName name="_xlnm.Print_Area" localSheetId="8">'住戸・共同住宅用自動火災報知設備'!$A$1:$R$121</definedName>
    <definedName name="_xlnm.Print_Area" localSheetId="9">'自動火災報知設備その１'!$A$1:$R$124</definedName>
    <definedName name="_xlnm.Print_Area" localSheetId="10">'自動火災報知設備その２'!$A$1:$N$32</definedName>
    <definedName name="_xlnm.Print_Area" localSheetId="11">'火報_その1'!$A$1:$Q$39</definedName>
    <definedName name="_xlnm.Print_Area" localSheetId="12">'火報_その2'!$A$1:$Q$38</definedName>
    <definedName name="_xlnm.Print_Area" localSheetId="13">'火報_その３'!$A$1:$Q$39</definedName>
    <definedName name="_xlnm.Print_Area" localSheetId="14">'火報_その4'!$A$1:$Q$39</definedName>
  </definedNames>
  <calcPr calcId="124519" fullCalcOnLoad="1"/>
</workbook>
</file>

<file path=xl/styles.xml><?xml version="1.0" encoding="utf-8"?>
<styleSheet xmlns="http://schemas.openxmlformats.org/spreadsheetml/2006/main">
  <numFmts count="9">
    <numFmt numFmtId="164" formatCode="yyyy-mm-dd h:mm:ss"/>
    <numFmt numFmtId="165" formatCode="[$-411]ggge&quot;年&quot;m&quot;月&quot;d&quot;日&quot;;@"/>
    <numFmt numFmtId="166" formatCode="##,##0.0&quot;㎡&quot;"/>
    <numFmt numFmtId="167" formatCode="@&quot;㎡&quot;"/>
    <numFmt numFmtId="168" formatCode="0&quot;個&quot;"/>
    <numFmt numFmtId="169" formatCode="0.00_ "/>
    <numFmt numFmtId="170" formatCode="0.000_ "/>
    <numFmt numFmtId="171" formatCode="#,##0.000&quot;㎡&quot;"/>
    <numFmt numFmtId="172" formatCode="@&quot;号室&quot;"/>
  </numFmts>
  <fonts count="29">
    <font>
      <name val="Calibri"/>
      <family val="2"/>
      <color theme="1"/>
      <sz val="11"/>
      <scheme val="minor"/>
    </font>
    <font>
      <name val="ＭＳ 明朝"/>
      <charset val="128"/>
      <family val="1"/>
      <color theme="1"/>
      <sz val="10"/>
    </font>
    <font>
      <name val="Yu Gothic"/>
      <family val="2"/>
      <color theme="1"/>
      <sz val="11"/>
      <scheme val="minor"/>
    </font>
    <font>
      <name val="ＭＳ 明朝"/>
      <charset val="128"/>
      <family val="1"/>
      <color theme="1"/>
      <sz val="16"/>
    </font>
    <font>
      <name val="ＭＳ 明朝"/>
      <charset val="128"/>
      <family val="1"/>
      <color theme="1"/>
      <sz val="11"/>
    </font>
    <font>
      <name val="ＭＳ 明朝"/>
      <charset val="128"/>
      <family val="1"/>
      <color theme="0"/>
      <sz val="11"/>
    </font>
    <font>
      <name val="Yu Gothic"/>
      <charset val="128"/>
      <family val="3"/>
      <color theme="1"/>
      <sz val="11"/>
      <scheme val="minor"/>
    </font>
    <font>
      <name val="Yu Gothic"/>
      <charset val="128"/>
      <family val="3"/>
      <color theme="1"/>
      <sz val="10"/>
      <scheme val="minor"/>
    </font>
    <font>
      <name val="ＭＳ 明朝"/>
      <charset val="128"/>
      <family val="1"/>
      <color theme="1"/>
      <sz val="9"/>
    </font>
    <font>
      <name val="ＭＳ 明朝"/>
      <charset val="128"/>
      <family val="1"/>
      <color theme="1"/>
      <sz val="8"/>
    </font>
    <font>
      <name val="ＭＳ 明朝"/>
      <charset val="128"/>
      <family val="1"/>
      <color theme="1"/>
      <sz val="12"/>
    </font>
    <font>
      <name val="ＭＳ 明朝"/>
      <charset val="128"/>
      <family val="1"/>
      <b val="1"/>
      <color rgb="FFFF0000"/>
      <sz val="11"/>
    </font>
    <font>
      <name val="ＭＳ 明朝"/>
      <charset val="128"/>
      <family val="1"/>
      <color theme="1"/>
      <sz val="7"/>
    </font>
    <font>
      <name val="ＭＳ 明朝"/>
      <charset val="128"/>
      <family val="1"/>
      <color theme="1"/>
      <sz val="6.5"/>
    </font>
    <font>
      <name val="ＭＳ 明朝"/>
      <charset val="128"/>
      <family val="1"/>
      <color theme="1"/>
      <sz val="9.5"/>
    </font>
    <font>
      <name val="Century"/>
      <family val="1"/>
      <color theme="1"/>
      <sz val="9"/>
    </font>
    <font>
      <name val="ＭＳ Ｐゴシック"/>
      <charset val="128"/>
      <family val="3"/>
      <color theme="0"/>
      <sz val="11"/>
    </font>
    <font>
      <name val="Century"/>
      <charset val="128"/>
      <family val="1"/>
      <color theme="1"/>
      <sz val="9"/>
    </font>
    <font>
      <name val="ＭＳ Ｐ明朝"/>
      <charset val="128"/>
      <family val="1"/>
      <color theme="1"/>
      <sz val="10"/>
    </font>
    <font>
      <name val="ＭＳ 明朝"/>
      <charset val="128"/>
      <family val="1"/>
      <color theme="1"/>
      <sz val="11"/>
      <u val="single"/>
    </font>
    <font>
      <name val="ＭＳ Ｐ明朝"/>
      <charset val="128"/>
      <family val="1"/>
      <color theme="1"/>
      <sz val="10.5"/>
    </font>
    <font>
      <name val="ＭＳ 明朝"/>
      <charset val="128"/>
      <family val="1"/>
      <color theme="1"/>
      <sz val="10.5"/>
    </font>
    <font>
      <name val="Yu Gothic"/>
      <family val="2"/>
      <color theme="1"/>
      <sz val="8"/>
      <scheme val="minor"/>
    </font>
    <font>
      <name val="ＭＳ 明朝"/>
      <charset val="128"/>
      <family val="1"/>
      <color theme="1"/>
      <sz val="8.5"/>
    </font>
    <font>
      <name val="ＭＳ 明朝"/>
      <charset val="128"/>
      <family val="1"/>
      <b val="1"/>
      <color theme="1"/>
      <sz val="10.5"/>
      <u val="single"/>
    </font>
    <font>
      <name val="ＭＳ 明朝"/>
      <charset val="128"/>
      <family val="1"/>
      <b val="1"/>
      <color theme="1"/>
      <sz val="10.5"/>
    </font>
    <font>
      <name val="Century"/>
      <family val="1"/>
      <color theme="1"/>
      <sz val="10"/>
    </font>
    <font>
      <name val="ＭＳ 明朝"/>
      <charset val="128"/>
      <family val="1"/>
      <b val="1"/>
      <color theme="1"/>
      <sz val="9"/>
      <u val="single"/>
    </font>
    <font>
      <name val="ＭＳ 明朝"/>
      <charset val="128"/>
      <family val="1"/>
      <b val="1"/>
      <color theme="1"/>
      <sz val="8"/>
      <u val="single"/>
    </font>
  </fonts>
  <fills count="10">
    <fill>
      <patternFill/>
    </fill>
    <fill>
      <patternFill patternType="gray125"/>
    </fill>
    <fill>
      <patternFill patternType="solid">
        <fgColor theme="5" tint="0.7999816888943144"/>
        <bgColor indexed="64"/>
      </patternFill>
    </fill>
    <fill>
      <patternFill patternType="solid">
        <fgColor rgb="FFFFFF00"/>
        <bgColor indexed="64"/>
      </patternFill>
    </fill>
    <fill>
      <patternFill patternType="solid">
        <fgColor rgb="FFFF0000"/>
        <bgColor indexed="64"/>
      </patternFill>
    </fill>
    <fill>
      <patternFill patternType="solid">
        <fgColor theme="7" tint="0.7999816888943144"/>
        <bgColor indexed="64"/>
      </patternFill>
    </fill>
    <fill>
      <patternFill patternType="solid">
        <fgColor rgb="FFFFC000"/>
        <bgColor indexed="64"/>
      </patternFill>
    </fill>
    <fill>
      <patternFill patternType="solid">
        <fgColor theme="9" tint="0.5999938962981048"/>
        <bgColor indexed="64"/>
      </patternFill>
    </fill>
    <fill>
      <patternFill patternType="solid">
        <fgColor theme="8"/>
        <bgColor indexed="64"/>
      </patternFill>
    </fill>
    <fill>
      <patternFill patternType="solid">
        <fgColor rgb="FF00B050"/>
        <bgColor indexed="64"/>
      </patternFill>
    </fill>
  </fills>
  <borders count="35">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top/>
      <bottom/>
      <diagonal/>
    </border>
    <border>
      <left/>
      <right style="medium">
        <color indexed="64"/>
      </right>
      <top/>
      <bottom/>
      <diagonal/>
    </border>
    <border>
      <left/>
      <right style="thin">
        <color indexed="64"/>
      </right>
      <top style="thin">
        <color indexed="64"/>
      </top>
      <bottom style="double">
        <color indexed="64"/>
      </bottom>
      <diagonal/>
    </border>
    <border>
      <left style="thin">
        <color indexed="64"/>
      </left>
      <right/>
      <top/>
      <bottom style="double">
        <color indexed="64"/>
      </bottom>
      <diagonal/>
    </border>
    <border>
      <left/>
      <right/>
      <top/>
      <bottom style="double">
        <color indexed="64"/>
      </bottom>
      <diagonal/>
    </border>
    <border>
      <left/>
      <right/>
      <top/>
      <bottom style="medium">
        <color indexed="64"/>
      </bottom>
      <diagonal/>
    </border>
    <border>
      <left/>
      <right style="medium">
        <color indexed="64"/>
      </right>
      <top/>
      <bottom style="medium">
        <color indexed="64"/>
      </bottom>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thin">
        <color indexed="64"/>
      </right>
      <top style="thin">
        <color indexed="64"/>
      </top>
      <bottom/>
      <diagonal style="thin">
        <color indexed="64"/>
      </diagonal>
    </border>
    <border>
      <left style="thin">
        <color indexed="64"/>
      </left>
      <right style="thin">
        <color indexed="64"/>
      </right>
      <top style="double">
        <color indexed="64"/>
      </top>
      <bottom style="thin">
        <color indexed="64"/>
      </bottom>
      <diagonal/>
    </border>
    <border>
      <left style="thin">
        <color indexed="64"/>
      </left>
      <right/>
      <top style="thin">
        <color indexed="64"/>
      </top>
      <bottom style="double">
        <color indexed="64"/>
      </bottom>
      <diagonal/>
    </border>
    <border>
      <left style="medium">
        <color indexed="64"/>
      </left>
      <right/>
      <top/>
      <bottom style="medium">
        <color indexed="64"/>
      </bottom>
      <diagonal/>
    </border>
    <border>
      <left/>
      <right/>
      <top style="thin">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s>
  <cellStyleXfs count="1">
    <xf numFmtId="0" fontId="0" fillId="0" borderId="0"/>
  </cellStyleXfs>
  <cellXfs count="477">
    <xf numFmtId="0" fontId="0" fillId="0" borderId="0" pivotButton="0" quotePrefix="0" xfId="0"/>
    <xf numFmtId="0" fontId="1" fillId="0" borderId="0" applyAlignment="1" pivotButton="0" quotePrefix="0" xfId="0">
      <alignment vertical="center"/>
    </xf>
    <xf numFmtId="0" fontId="2" fillId="2" borderId="0" pivotButton="0" quotePrefix="0" xfId="0"/>
    <xf numFmtId="0" fontId="3" fillId="0" borderId="1" applyAlignment="1" pivotButton="0" quotePrefix="0" xfId="0">
      <alignment horizontal="center" vertical="center"/>
    </xf>
    <xf numFmtId="0" fontId="1" fillId="0" borderId="0" applyAlignment="1" pivotButton="0" quotePrefix="0" xfId="0">
      <alignment horizontal="center" vertical="center"/>
    </xf>
    <xf numFmtId="0" fontId="1" fillId="0" borderId="2" applyAlignment="1" pivotButton="0" quotePrefix="0" xfId="0">
      <alignment vertical="center"/>
    </xf>
    <xf numFmtId="0" fontId="1" fillId="0" borderId="3" applyAlignment="1" pivotButton="0" quotePrefix="0" xfId="0">
      <alignment horizontal="right"/>
    </xf>
    <xf numFmtId="0" fontId="1" fillId="0" borderId="4" applyAlignment="1" pivotButton="0" quotePrefix="0" xfId="0">
      <alignment horizontal="right" vertical="center"/>
    </xf>
    <xf numFmtId="0" fontId="1" fillId="0" borderId="5" applyAlignment="1" pivotButton="0" quotePrefix="0" xfId="0">
      <alignment vertical="center"/>
    </xf>
    <xf numFmtId="0" fontId="1" fillId="0" borderId="0" applyAlignment="1" pivotButton="0" quotePrefix="0" xfId="0">
      <alignment horizontal="right"/>
    </xf>
    <xf numFmtId="0" fontId="1" fillId="0" borderId="6" applyAlignment="1" pivotButton="0" quotePrefix="0" xfId="0">
      <alignment horizontal="right" vertical="center"/>
    </xf>
    <xf numFmtId="0" fontId="4" fillId="2" borderId="0" applyAlignment="1" pivotButton="0" quotePrefix="0" xfId="0">
      <alignment vertical="center"/>
    </xf>
    <xf numFmtId="0" fontId="1" fillId="0" borderId="0" applyAlignment="1" pivotButton="0" quotePrefix="0" xfId="0">
      <alignment horizontal="left" vertical="center"/>
    </xf>
    <xf numFmtId="0" fontId="1" fillId="0" borderId="6" applyAlignment="1" pivotButton="0" quotePrefix="0" xfId="0">
      <alignment vertical="center"/>
    </xf>
    <xf numFmtId="0" fontId="2" fillId="3" borderId="0" applyAlignment="1" pivotButton="0" quotePrefix="0" xfId="0">
      <alignment horizontal="left"/>
    </xf>
    <xf numFmtId="0" fontId="4" fillId="0" borderId="0" applyAlignment="1" pivotButton="0" quotePrefix="0" xfId="0">
      <alignment vertical="center"/>
    </xf>
    <xf numFmtId="0" fontId="1" fillId="0" borderId="0" applyAlignment="1" pivotButton="0" quotePrefix="0" xfId="0">
      <alignment horizontal="right" vertical="center"/>
    </xf>
    <xf numFmtId="0" fontId="2" fillId="2" borderId="7" applyAlignment="1" pivotButton="0" quotePrefix="0" xfId="0">
      <alignment horizontal="left" vertical="center"/>
    </xf>
    <xf numFmtId="0" fontId="4" fillId="2" borderId="7" applyAlignment="1" pivotButton="0" quotePrefix="0" xfId="0">
      <alignment horizontal="left" vertical="center"/>
    </xf>
    <xf numFmtId="0" fontId="5" fillId="4" borderId="7" applyAlignment="1" pivotButton="0" quotePrefix="0" xfId="0">
      <alignment horizontal="left" vertical="center"/>
    </xf>
    <xf numFmtId="0" fontId="1" fillId="0" borderId="0" pivotButton="0" quotePrefix="0" xfId="0"/>
    <xf numFmtId="0" fontId="4" fillId="3" borderId="0" applyAlignment="1" pivotButton="0" quotePrefix="0" xfId="0">
      <alignment vertical="center"/>
    </xf>
    <xf numFmtId="14" fontId="4" fillId="2" borderId="7" applyAlignment="1" pivotButton="0" quotePrefix="0" xfId="0">
      <alignment horizontal="left" vertical="center"/>
    </xf>
    <xf numFmtId="0" fontId="1" fillId="0" borderId="1" applyAlignment="1" pivotButton="0" quotePrefix="0" xfId="0">
      <alignment vertical="center"/>
    </xf>
    <xf numFmtId="0" fontId="1" fillId="0" borderId="8" applyAlignment="1" pivotButton="0" quotePrefix="0" xfId="0">
      <alignment vertical="center"/>
    </xf>
    <xf numFmtId="0" fontId="1" fillId="0" borderId="9" applyAlignment="1" pivotButton="0" quotePrefix="0" xfId="0">
      <alignment horizontal="distributed" vertical="center"/>
    </xf>
    <xf numFmtId="0" fontId="1" fillId="0" borderId="10" applyAlignment="1" pivotButton="0" quotePrefix="0" xfId="0">
      <alignment horizontal="center" vertical="center"/>
    </xf>
    <xf numFmtId="0" fontId="1" fillId="0" borderId="9" applyAlignment="1" pivotButton="0" quotePrefix="0" xfId="0">
      <alignment horizontal="left" vertical="center"/>
    </xf>
    <xf numFmtId="0" fontId="2" fillId="0" borderId="0" applyAlignment="1" pivotButton="0" quotePrefix="0" xfId="0">
      <alignment vertical="center"/>
    </xf>
    <xf numFmtId="0" fontId="2" fillId="3" borderId="0" applyAlignment="1" pivotButton="0" quotePrefix="0" xfId="0">
      <alignment horizontal="left" vertical="center"/>
    </xf>
    <xf numFmtId="0" fontId="1" fillId="0" borderId="6" applyAlignment="1" pivotButton="0" quotePrefix="0" xfId="0">
      <alignment horizontal="center" vertical="center"/>
    </xf>
    <xf numFmtId="0" fontId="6" fillId="3" borderId="0" applyAlignment="1" pivotButton="0" quotePrefix="0" xfId="0">
      <alignment horizontal="left" vertical="center"/>
    </xf>
    <xf numFmtId="14" fontId="4" fillId="0" borderId="0" applyAlignment="1" pivotButton="0" quotePrefix="0" xfId="0">
      <alignment vertical="center"/>
    </xf>
    <xf numFmtId="0" fontId="1" fillId="0" borderId="4" applyAlignment="1" pivotButton="0" quotePrefix="0" xfId="0">
      <alignment horizontal="center" vertical="center"/>
    </xf>
    <xf numFmtId="0" fontId="7" fillId="3" borderId="0" applyAlignment="1" pivotButton="0" quotePrefix="0" xfId="0">
      <alignment horizontal="left" vertical="center"/>
    </xf>
    <xf numFmtId="14" fontId="1" fillId="0" borderId="0" applyAlignment="1" pivotButton="0" quotePrefix="0" xfId="0">
      <alignment vertical="center"/>
    </xf>
    <xf numFmtId="49" fontId="1" fillId="0" borderId="2" applyAlignment="1" pivotButton="0" quotePrefix="0" xfId="0">
      <alignment vertical="top" textRotation="255" wrapText="1"/>
    </xf>
    <xf numFmtId="49" fontId="1" fillId="0" borderId="9" applyAlignment="1" pivotButton="0" quotePrefix="0" xfId="0">
      <alignment horizontal="right" vertical="top" textRotation="255" wrapText="1"/>
    </xf>
    <xf numFmtId="49" fontId="1" fillId="0" borderId="9" applyAlignment="1" pivotButton="0" quotePrefix="0" xfId="0">
      <alignment horizontal="left" vertical="top" textRotation="255" wrapText="1"/>
    </xf>
    <xf numFmtId="49" fontId="1" fillId="0" borderId="10" applyAlignment="1" pivotButton="0" quotePrefix="0" xfId="0">
      <alignment horizontal="left" vertical="top" textRotation="255" wrapText="1"/>
    </xf>
    <xf numFmtId="49" fontId="1" fillId="0" borderId="2" applyAlignment="1" pivotButton="0" quotePrefix="0" xfId="0">
      <alignment horizontal="center" vertical="top" textRotation="255" wrapText="1"/>
    </xf>
    <xf numFmtId="0" fontId="1" fillId="0" borderId="4" applyAlignment="1" pivotButton="0" quotePrefix="0" xfId="0">
      <alignment horizontal="distributed" vertical="center"/>
    </xf>
    <xf numFmtId="0" fontId="1" fillId="0" borderId="0" applyAlignment="1" pivotButton="0" quotePrefix="0" xfId="0">
      <alignment horizontal="left"/>
    </xf>
    <xf numFmtId="49" fontId="1" fillId="0" borderId="5" applyAlignment="1" pivotButton="0" quotePrefix="0" xfId="0">
      <alignment vertical="top" textRotation="255" wrapText="1"/>
    </xf>
    <xf numFmtId="49" fontId="1" fillId="0" borderId="11" applyAlignment="1" pivotButton="0" quotePrefix="0" xfId="0">
      <alignment horizontal="center" vertical="top" textRotation="255" wrapText="1"/>
    </xf>
    <xf numFmtId="0" fontId="1" fillId="0" borderId="12" applyAlignment="1" pivotButton="0" quotePrefix="0" xfId="0">
      <alignment horizontal="distributed" vertical="center"/>
    </xf>
    <xf numFmtId="0" fontId="1" fillId="0" borderId="0" applyAlignment="1" pivotButton="0" quotePrefix="0" xfId="0">
      <alignment vertical="top"/>
    </xf>
    <xf numFmtId="165" fontId="2" fillId="3" borderId="0" applyAlignment="1" pivotButton="0" quotePrefix="0" xfId="0">
      <alignment horizontal="left" vertical="center"/>
    </xf>
    <xf numFmtId="165" fontId="2" fillId="2" borderId="0" applyAlignment="1" pivotButton="0" quotePrefix="0" xfId="0">
      <alignment horizontal="right" vertical="center"/>
    </xf>
    <xf numFmtId="0" fontId="8" fillId="0" borderId="9" applyAlignment="1" pivotButton="0" quotePrefix="0" xfId="0">
      <alignment horizontal="distributed" vertical="center" wrapText="1"/>
    </xf>
    <xf numFmtId="0" fontId="1" fillId="0" borderId="4" applyAlignment="1" pivotButton="0" quotePrefix="0" xfId="0">
      <alignment horizontal="distributed" vertical="center" wrapText="1"/>
    </xf>
    <xf numFmtId="0" fontId="1" fillId="0" borderId="3" pivotButton="0" quotePrefix="0" xfId="0"/>
    <xf numFmtId="0" fontId="1" fillId="0" borderId="3" applyAlignment="1" pivotButton="0" quotePrefix="0" xfId="0">
      <alignment vertical="center"/>
    </xf>
    <xf numFmtId="0" fontId="1" fillId="0" borderId="4" applyAlignment="1" pivotButton="0" quotePrefix="0" xfId="0">
      <alignment vertical="center"/>
    </xf>
    <xf numFmtId="49" fontId="1" fillId="0" borderId="11" applyAlignment="1" pivotButton="0" quotePrefix="0" xfId="0">
      <alignment vertical="top" textRotation="255" wrapText="1"/>
    </xf>
    <xf numFmtId="0" fontId="1" fillId="0" borderId="12" applyAlignment="1" pivotButton="0" quotePrefix="0" xfId="0">
      <alignment horizontal="distributed" vertical="center" wrapText="1"/>
    </xf>
    <xf numFmtId="0" fontId="1" fillId="0" borderId="11" applyAlignment="1" pivotButton="0" quotePrefix="0" xfId="0">
      <alignment vertical="center"/>
    </xf>
    <xf numFmtId="0" fontId="1" fillId="0" borderId="1" applyAlignment="1" pivotButton="0" quotePrefix="0" xfId="0">
      <alignment vertical="top"/>
    </xf>
    <xf numFmtId="0" fontId="1" fillId="0" borderId="12" applyAlignment="1" pivotButton="0" quotePrefix="0" xfId="0">
      <alignment vertical="center"/>
    </xf>
    <xf numFmtId="0" fontId="1" fillId="0" borderId="7" applyAlignment="1" pivotButton="0" quotePrefix="0" xfId="0">
      <alignment horizontal="center" vertical="center" textRotation="255"/>
    </xf>
    <xf numFmtId="0" fontId="1" fillId="0" borderId="2" applyAlignment="1" pivotButton="0" quotePrefix="0" xfId="0">
      <alignment horizontal="center" vertical="center" textRotation="255"/>
    </xf>
    <xf numFmtId="0" fontId="9" fillId="0" borderId="9" applyAlignment="1" pivotButton="0" quotePrefix="0" xfId="0">
      <alignment horizontal="distributed" vertical="center" wrapText="1"/>
    </xf>
    <xf numFmtId="0" fontId="1" fillId="0" borderId="7" applyAlignment="1" pivotButton="0" quotePrefix="0" xfId="0">
      <alignment horizontal="center" vertical="center"/>
    </xf>
    <xf numFmtId="0" fontId="1" fillId="0" borderId="5" applyAlignment="1" pivotButton="0" quotePrefix="0" xfId="0">
      <alignment horizontal="center" vertical="center" textRotation="255"/>
    </xf>
    <xf numFmtId="0" fontId="1" fillId="0" borderId="6" applyAlignment="1" pivotButton="0" quotePrefix="0" xfId="0">
      <alignment horizontal="distributed" vertical="center"/>
    </xf>
    <xf numFmtId="0" fontId="1" fillId="0" borderId="5" applyAlignment="1" pivotButton="0" quotePrefix="0" xfId="0">
      <alignment horizontal="center" vertical="center" textRotation="255" shrinkToFit="1"/>
    </xf>
    <xf numFmtId="0" fontId="1" fillId="0" borderId="6" applyAlignment="1" pivotButton="0" quotePrefix="0" xfId="0">
      <alignment vertical="center" wrapText="1"/>
    </xf>
    <xf numFmtId="0" fontId="1" fillId="0" borderId="0" applyAlignment="1" pivotButton="0" quotePrefix="0" xfId="0">
      <alignment vertical="center" wrapText="1"/>
    </xf>
    <xf numFmtId="0" fontId="1" fillId="0" borderId="5" applyAlignment="1" pivotButton="0" quotePrefix="0" xfId="0">
      <alignment horizontal="center" vertical="center"/>
    </xf>
    <xf numFmtId="0" fontId="1" fillId="0" borderId="3" applyAlignment="1" pivotButton="0" quotePrefix="0" xfId="0">
      <alignment horizontal="center" vertical="center"/>
    </xf>
    <xf numFmtId="0" fontId="1" fillId="0" borderId="1" applyAlignment="1" pivotButton="0" quotePrefix="0" xfId="0">
      <alignment horizontal="center" vertical="center"/>
    </xf>
    <xf numFmtId="0" fontId="1" fillId="0" borderId="3" applyAlignment="1" pivotButton="0" quotePrefix="0" xfId="0">
      <alignment horizontal="distributed" vertical="center"/>
    </xf>
    <xf numFmtId="0" fontId="1" fillId="0" borderId="7" applyAlignment="1" pivotButton="0" quotePrefix="0" xfId="0">
      <alignment horizontal="left" vertical="center"/>
    </xf>
    <xf numFmtId="0" fontId="1" fillId="0" borderId="8" applyAlignment="1" pivotButton="0" quotePrefix="0" xfId="0">
      <alignment horizontal="center" vertical="center"/>
    </xf>
    <xf numFmtId="0" fontId="1" fillId="0" borderId="12" applyAlignment="1" pivotButton="0" quotePrefix="0" xfId="0">
      <alignment horizontal="center" vertical="center"/>
    </xf>
    <xf numFmtId="0" fontId="4" fillId="0" borderId="0" pivotButton="0" quotePrefix="0" xfId="0"/>
    <xf numFmtId="0" fontId="4" fillId="0" borderId="0" applyAlignment="1" pivotButton="0" quotePrefix="0" xfId="0">
      <alignment horizontal="center" vertical="center"/>
    </xf>
    <xf numFmtId="0" fontId="10" fillId="0" borderId="7" applyAlignment="1" pivotButton="0" quotePrefix="0" xfId="0">
      <alignment horizontal="center" vertical="center"/>
    </xf>
    <xf numFmtId="0" fontId="4" fillId="0" borderId="7" applyAlignment="1" pivotButton="0" quotePrefix="0" xfId="0">
      <alignment horizontal="center" vertical="center"/>
    </xf>
    <xf numFmtId="0" fontId="1" fillId="0" borderId="7" applyAlignment="1" pivotButton="0" quotePrefix="0" xfId="0">
      <alignment horizontal="left" vertical="center" shrinkToFit="1"/>
    </xf>
    <xf numFmtId="0" fontId="8" fillId="0" borderId="7" applyAlignment="1" pivotButton="0" quotePrefix="0" xfId="0">
      <alignment horizontal="left" vertical="center" shrinkToFit="1"/>
    </xf>
    <xf numFmtId="49" fontId="4" fillId="3" borderId="0" applyAlignment="1" pivotButton="0" quotePrefix="0" xfId="0">
      <alignment vertical="center"/>
    </xf>
    <xf numFmtId="166" fontId="4" fillId="0" borderId="7" applyAlignment="1" pivotButton="0" quotePrefix="0" xfId="0">
      <alignment horizontal="right" vertical="center"/>
    </xf>
    <xf numFmtId="0" fontId="4" fillId="3" borderId="0" applyAlignment="1" pivotButton="0" quotePrefix="0" xfId="0">
      <alignment horizontal="center" vertical="center"/>
    </xf>
    <xf numFmtId="0" fontId="4" fillId="0" borderId="7" applyAlignment="1" pivotButton="0" quotePrefix="0" xfId="0">
      <alignment horizontal="center" vertical="center" wrapText="1"/>
    </xf>
    <xf numFmtId="0" fontId="4" fillId="0" borderId="13" applyAlignment="1" pivotButton="0" quotePrefix="0" xfId="0">
      <alignment horizontal="center" vertical="center"/>
    </xf>
    <xf numFmtId="0" fontId="9" fillId="0" borderId="7" applyAlignment="1" pivotButton="0" quotePrefix="0" xfId="0">
      <alignment horizontal="center" vertical="center" wrapText="1" shrinkToFit="1"/>
    </xf>
    <xf numFmtId="0" fontId="4" fillId="0" borderId="7" applyAlignment="1" pivotButton="0" quotePrefix="0" xfId="0">
      <alignment horizontal="center" vertical="center" shrinkToFit="1"/>
    </xf>
    <xf numFmtId="0" fontId="4" fillId="2" borderId="8" applyAlignment="1" pivotButton="0" quotePrefix="0" xfId="0">
      <alignment horizontal="center" vertical="center"/>
    </xf>
    <xf numFmtId="167" fontId="4" fillId="3" borderId="7" applyAlignment="1" pivotButton="0" quotePrefix="0" xfId="0">
      <alignment vertical="center"/>
    </xf>
    <xf numFmtId="0" fontId="4" fillId="3" borderId="7" applyAlignment="1" pivotButton="0" quotePrefix="0" xfId="0">
      <alignment horizontal="center" vertical="center" shrinkToFit="1"/>
    </xf>
    <xf numFmtId="0" fontId="4" fillId="2" borderId="7" applyAlignment="1" pivotButton="0" quotePrefix="0" xfId="0">
      <alignment horizontal="center" vertical="center"/>
    </xf>
    <xf numFmtId="0" fontId="4" fillId="3" borderId="7" applyAlignment="1" pivotButton="0" quotePrefix="0" xfId="0">
      <alignment horizontal="center" vertical="center"/>
    </xf>
    <xf numFmtId="0" fontId="4" fillId="0" borderId="7" applyAlignment="1" pivotButton="0" quotePrefix="0" xfId="0">
      <alignment horizontal="center" vertical="center" textRotation="255"/>
    </xf>
    <xf numFmtId="0" fontId="4" fillId="0" borderId="2" applyAlignment="1" pivotButton="0" quotePrefix="0" xfId="0">
      <alignment vertical="center"/>
    </xf>
    <xf numFmtId="0" fontId="4" fillId="0" borderId="3" applyAlignment="1" pivotButton="0" quotePrefix="0" xfId="0">
      <alignment vertical="center"/>
    </xf>
    <xf numFmtId="0" fontId="4" fillId="0" borderId="4" applyAlignment="1" pivotButton="0" quotePrefix="0" xfId="0">
      <alignment vertical="center"/>
    </xf>
    <xf numFmtId="0" fontId="4" fillId="0" borderId="5" applyAlignment="1" pivotButton="0" quotePrefix="0" xfId="0">
      <alignment vertical="center"/>
    </xf>
    <xf numFmtId="0" fontId="4" fillId="0" borderId="6" applyAlignment="1" pivotButton="0" quotePrefix="0" xfId="0">
      <alignment vertical="center"/>
    </xf>
    <xf numFmtId="0" fontId="4" fillId="0" borderId="11" applyAlignment="1" pivotButton="0" quotePrefix="0" xfId="0">
      <alignment vertical="center"/>
    </xf>
    <xf numFmtId="0" fontId="4" fillId="0" borderId="1" applyAlignment="1" pivotButton="0" quotePrefix="0" xfId="0">
      <alignment vertical="center"/>
    </xf>
    <xf numFmtId="0" fontId="4" fillId="0" borderId="12" applyAlignment="1" pivotButton="0" quotePrefix="0" xfId="0">
      <alignment vertical="center"/>
    </xf>
    <xf numFmtId="0" fontId="8" fillId="0" borderId="0" applyAlignment="1" pivotButton="0" quotePrefix="0" xfId="0">
      <alignment vertical="center"/>
    </xf>
    <xf numFmtId="0" fontId="9" fillId="0" borderId="0" applyAlignment="1" pivotButton="0" quotePrefix="0" xfId="0">
      <alignment vertical="center"/>
    </xf>
    <xf numFmtId="0" fontId="4" fillId="0" borderId="0" applyAlignment="1" pivotButton="0" quotePrefix="0" xfId="0">
      <alignment horizontal="right" vertical="center"/>
    </xf>
    <xf numFmtId="0" fontId="4" fillId="0" borderId="0" applyAlignment="1" pivotButton="0" quotePrefix="0" xfId="0">
      <alignment horizontal="center" vertical="center" shrinkToFit="1"/>
    </xf>
    <xf numFmtId="0" fontId="11" fillId="3" borderId="0" pivotButton="0" quotePrefix="0" xfId="0"/>
    <xf numFmtId="0" fontId="4" fillId="0" borderId="0" applyAlignment="1" pivotButton="0" quotePrefix="0" xfId="0">
      <alignment horizontal="centerContinuous" vertical="center"/>
    </xf>
    <xf numFmtId="0" fontId="4" fillId="5" borderId="14" pivotButton="0" quotePrefix="0" xfId="0"/>
    <xf numFmtId="0" fontId="4" fillId="5" borderId="15" pivotButton="0" quotePrefix="0" xfId="0"/>
    <xf numFmtId="0" fontId="4" fillId="5" borderId="15" applyAlignment="1" pivotButton="0" quotePrefix="0" xfId="0">
      <alignment horizontal="center"/>
    </xf>
    <xf numFmtId="0" fontId="4" fillId="5" borderId="16" pivotButton="0" quotePrefix="0" xfId="0"/>
    <xf numFmtId="0" fontId="4" fillId="0" borderId="17" applyAlignment="1" pivotButton="0" quotePrefix="0" xfId="0">
      <alignment horizontal="center" vertical="center"/>
    </xf>
    <xf numFmtId="0" fontId="4" fillId="0" borderId="18" applyAlignment="1" pivotButton="0" quotePrefix="0" xfId="0">
      <alignment horizontal="center" vertical="center"/>
    </xf>
    <xf numFmtId="0" fontId="4" fillId="0" borderId="19" applyAlignment="1" pivotButton="0" quotePrefix="0" xfId="0">
      <alignment horizontal="center" vertical="center"/>
    </xf>
    <xf numFmtId="0" fontId="4" fillId="5" borderId="20" pivotButton="0" quotePrefix="0" xfId="0"/>
    <xf numFmtId="0" fontId="4" fillId="5" borderId="0" pivotButton="0" quotePrefix="0" xfId="0"/>
    <xf numFmtId="0" fontId="4" fillId="5" borderId="21" pivotButton="0" quotePrefix="0" xfId="0"/>
    <xf numFmtId="0" fontId="4" fillId="0" borderId="11" applyAlignment="1" pivotButton="0" quotePrefix="0" xfId="0">
      <alignment horizontal="left" vertical="center"/>
    </xf>
    <xf numFmtId="0" fontId="4" fillId="0" borderId="1" applyAlignment="1" pivotButton="0" quotePrefix="0" xfId="0">
      <alignment horizontal="left" vertical="center"/>
    </xf>
    <xf numFmtId="0" fontId="4" fillId="0" borderId="12" applyAlignment="1" pivotButton="0" quotePrefix="0" xfId="0">
      <alignment horizontal="left" vertical="center"/>
    </xf>
    <xf numFmtId="168" fontId="4" fillId="0" borderId="18" applyAlignment="1" pivotButton="0" quotePrefix="0" xfId="0">
      <alignment horizontal="center" vertical="center"/>
    </xf>
    <xf numFmtId="0" fontId="4" fillId="3" borderId="18" applyAlignment="1" pivotButton="0" quotePrefix="0" xfId="0">
      <alignment vertical="center"/>
    </xf>
    <xf numFmtId="0" fontId="4" fillId="0" borderId="18" applyAlignment="1" pivotButton="0" quotePrefix="0" xfId="0">
      <alignment vertical="center"/>
    </xf>
    <xf numFmtId="0" fontId="4" fillId="3" borderId="7" applyAlignment="1" pivotButton="0" quotePrefix="0" xfId="0">
      <alignment horizontal="center"/>
    </xf>
    <xf numFmtId="0" fontId="4" fillId="0" borderId="22" applyAlignment="1" pivotButton="0" quotePrefix="0" xfId="0">
      <alignment horizontal="center" vertical="center"/>
    </xf>
    <xf numFmtId="0" fontId="4" fillId="0" borderId="17" applyAlignment="1" pivotButton="0" quotePrefix="0" xfId="0">
      <alignment horizontal="distributed" vertical="center"/>
    </xf>
    <xf numFmtId="0" fontId="4" fillId="0" borderId="17" applyAlignment="1" pivotButton="0" quotePrefix="0" xfId="0">
      <alignment horizontal="left" vertical="center"/>
    </xf>
    <xf numFmtId="0" fontId="4" fillId="0" borderId="23" applyAlignment="1" pivotButton="0" quotePrefix="0" xfId="0">
      <alignment vertical="center"/>
    </xf>
    <xf numFmtId="0" fontId="4" fillId="3" borderId="24" applyAlignment="1" pivotButton="0" quotePrefix="0" xfId="0">
      <alignment vertical="center"/>
    </xf>
    <xf numFmtId="0" fontId="4" fillId="3" borderId="17" applyAlignment="1" pivotButton="0" quotePrefix="0" xfId="0">
      <alignment horizontal="center" vertical="center"/>
    </xf>
    <xf numFmtId="0" fontId="4" fillId="3" borderId="17" applyAlignment="1" pivotButton="0" quotePrefix="0" xfId="0">
      <alignment horizontal="center"/>
    </xf>
    <xf numFmtId="0" fontId="4" fillId="5" borderId="25" pivotButton="0" quotePrefix="0" xfId="0"/>
    <xf numFmtId="0" fontId="4" fillId="5" borderId="26" pivotButton="0" quotePrefix="0" xfId="0"/>
    <xf numFmtId="0" fontId="4" fillId="0" borderId="8" applyAlignment="1" pivotButton="0" quotePrefix="0" xfId="0">
      <alignment horizontal="left" vertical="center"/>
    </xf>
    <xf numFmtId="0" fontId="4" fillId="0" borderId="9" applyAlignment="1" pivotButton="0" quotePrefix="0" xfId="0">
      <alignment horizontal="left" vertical="center"/>
    </xf>
    <xf numFmtId="0" fontId="4" fillId="0" borderId="10" applyAlignment="1" pivotButton="0" quotePrefix="0" xfId="0">
      <alignment horizontal="left" vertical="center"/>
    </xf>
    <xf numFmtId="0" fontId="4" fillId="0" borderId="10" applyAlignment="1" pivotButton="0" quotePrefix="0" xfId="0">
      <alignment horizontal="center" vertical="center"/>
    </xf>
    <xf numFmtId="0" fontId="4" fillId="0" borderId="7" applyAlignment="1" pivotButton="0" quotePrefix="0" xfId="0">
      <alignment horizontal="distributed" vertical="center"/>
    </xf>
    <xf numFmtId="0" fontId="4" fillId="0" borderId="7" applyAlignment="1" pivotButton="0" quotePrefix="0" xfId="0">
      <alignment horizontal="left" vertical="center"/>
    </xf>
    <xf numFmtId="0" fontId="1" fillId="0" borderId="1" applyAlignment="1" pivotButton="0" quotePrefix="0" xfId="0">
      <alignment horizontal="right" vertical="center"/>
    </xf>
    <xf numFmtId="0" fontId="1" fillId="0" borderId="12" applyAlignment="1" pivotButton="0" quotePrefix="0" xfId="0">
      <alignment horizontal="right" vertical="center"/>
    </xf>
    <xf numFmtId="0" fontId="1" fillId="0" borderId="11" applyAlignment="1" pivotButton="0" quotePrefix="0" xfId="0">
      <alignment horizontal="center" vertical="center" shrinkToFit="1"/>
    </xf>
    <xf numFmtId="0" fontId="1" fillId="0" borderId="18" applyAlignment="1" pivotButton="0" quotePrefix="0" xfId="0">
      <alignment horizontal="center" vertical="center"/>
    </xf>
    <xf numFmtId="0" fontId="4" fillId="0" borderId="18" applyAlignment="1" pivotButton="0" quotePrefix="0" xfId="0">
      <alignment horizontal="center" vertical="center" shrinkToFit="1"/>
    </xf>
    <xf numFmtId="0" fontId="4" fillId="0" borderId="7" applyAlignment="1" pivotButton="0" quotePrefix="0" xfId="0">
      <alignment vertical="center"/>
    </xf>
    <xf numFmtId="0" fontId="4" fillId="6" borderId="8" applyAlignment="1" pivotButton="0" quotePrefix="0" xfId="0">
      <alignment horizontal="right" vertical="center"/>
    </xf>
    <xf numFmtId="0" fontId="4" fillId="0" borderId="10" applyAlignment="1" pivotButton="0" quotePrefix="0" xfId="0">
      <alignment vertical="center"/>
    </xf>
    <xf numFmtId="0" fontId="4" fillId="3" borderId="9" applyAlignment="1" pivotButton="0" quotePrefix="0" xfId="0">
      <alignment vertical="center"/>
    </xf>
    <xf numFmtId="0" fontId="4" fillId="0" borderId="9" applyAlignment="1" pivotButton="0" quotePrefix="0" xfId="0">
      <alignment vertical="center"/>
    </xf>
    <xf numFmtId="0" fontId="4" fillId="3" borderId="8" applyAlignment="1" pivotButton="0" quotePrefix="0" xfId="0">
      <alignment vertical="center"/>
    </xf>
    <xf numFmtId="0" fontId="4" fillId="0" borderId="9" pivotButton="0" quotePrefix="0" xfId="0"/>
    <xf numFmtId="49" fontId="4" fillId="3" borderId="9" applyAlignment="1" pivotButton="0" quotePrefix="0" xfId="0">
      <alignment horizontal="center"/>
    </xf>
    <xf numFmtId="0" fontId="4" fillId="0" borderId="8" pivotButton="0" quotePrefix="0" xfId="0"/>
    <xf numFmtId="0" fontId="4" fillId="3" borderId="7" pivotButton="0" quotePrefix="0" xfId="0"/>
    <xf numFmtId="0" fontId="1" fillId="0" borderId="3" applyAlignment="1" pivotButton="0" quotePrefix="0" xfId="0">
      <alignment horizontal="right" vertical="center"/>
    </xf>
    <xf numFmtId="0" fontId="1" fillId="0" borderId="8" applyAlignment="1" pivotButton="0" quotePrefix="0" xfId="0">
      <alignment horizontal="center" vertical="center" shrinkToFit="1"/>
    </xf>
    <xf numFmtId="0" fontId="1" fillId="0" borderId="11" applyAlignment="1" pivotButton="0" quotePrefix="0" xfId="0">
      <alignment horizontal="center" vertical="center"/>
    </xf>
    <xf numFmtId="49" fontId="4" fillId="3" borderId="10" applyAlignment="1" pivotButton="0" quotePrefix="0" xfId="0">
      <alignment horizontal="center"/>
    </xf>
    <xf numFmtId="0" fontId="4" fillId="0" borderId="11" pivotButton="0" quotePrefix="0" xfId="0"/>
    <xf numFmtId="0" fontId="4" fillId="0" borderId="1" pivotButton="0" quotePrefix="0" xfId="0"/>
    <xf numFmtId="0" fontId="4" fillId="3" borderId="18" pivotButton="0" quotePrefix="0" xfId="0"/>
    <xf numFmtId="0" fontId="1" fillId="0" borderId="8" applyAlignment="1" pivotButton="0" quotePrefix="0" xfId="0">
      <alignment horizontal="centerContinuous" vertical="center"/>
    </xf>
    <xf numFmtId="0" fontId="1" fillId="0" borderId="9" applyAlignment="1" pivotButton="0" quotePrefix="0" xfId="0">
      <alignment horizontal="centerContinuous" vertical="center"/>
    </xf>
    <xf numFmtId="0" fontId="1" fillId="0" borderId="9" applyAlignment="1" pivotButton="0" quotePrefix="0" xfId="0">
      <alignment vertical="center"/>
    </xf>
    <xf numFmtId="0" fontId="4" fillId="0" borderId="1" applyAlignment="1" pivotButton="0" quotePrefix="0" xfId="0">
      <alignment horizontal="center" vertical="center"/>
    </xf>
    <xf numFmtId="0" fontId="4" fillId="6" borderId="11" applyAlignment="1" pivotButton="0" quotePrefix="0" xfId="0">
      <alignment vertical="center"/>
    </xf>
    <xf numFmtId="0" fontId="4" fillId="3" borderId="8" applyAlignment="1" pivotButton="0" quotePrefix="0" xfId="0">
      <alignment horizontal="left" vertical="center"/>
    </xf>
    <xf numFmtId="0" fontId="4" fillId="0" borderId="0" applyAlignment="1" pivotButton="0" quotePrefix="0" xfId="0">
      <alignment horizontal="center"/>
    </xf>
    <xf numFmtId="0" fontId="9" fillId="0" borderId="7" applyAlignment="1" pivotButton="0" quotePrefix="0" xfId="0">
      <alignment horizontal="center" vertical="center"/>
    </xf>
    <xf numFmtId="0" fontId="12" fillId="0" borderId="7" applyAlignment="1" pivotButton="0" quotePrefix="0" xfId="0">
      <alignment horizontal="left" vertical="center"/>
    </xf>
    <xf numFmtId="49" fontId="12" fillId="0" borderId="7" applyAlignment="1" pivotButton="0" quotePrefix="0" xfId="0">
      <alignment horizontal="center" vertical="center"/>
    </xf>
    <xf numFmtId="49" fontId="4" fillId="0" borderId="7" applyAlignment="1" pivotButton="0" quotePrefix="0" xfId="0">
      <alignment horizontal="center" vertical="center"/>
    </xf>
    <xf numFmtId="0" fontId="13" fillId="0" borderId="7" applyAlignment="1" pivotButton="0" quotePrefix="0" xfId="0">
      <alignment vertical="center"/>
    </xf>
    <xf numFmtId="0" fontId="4" fillId="0" borderId="8" applyAlignment="1" pivotButton="0" quotePrefix="0" xfId="0">
      <alignment vertical="center"/>
    </xf>
    <xf numFmtId="0" fontId="4" fillId="5" borderId="2" pivotButton="0" quotePrefix="0" xfId="0"/>
    <xf numFmtId="0" fontId="4" fillId="5" borderId="4" pivotButton="0" quotePrefix="0" xfId="0"/>
    <xf numFmtId="0" fontId="8" fillId="0" borderId="7" applyAlignment="1" pivotButton="0" quotePrefix="0" xfId="0">
      <alignment horizontal="center" vertical="center" textRotation="255"/>
    </xf>
    <xf numFmtId="0" fontId="8" fillId="0" borderId="7" applyAlignment="1" pivotButton="0" quotePrefix="0" xfId="0">
      <alignment horizontal="left" vertical="center"/>
    </xf>
    <xf numFmtId="49" fontId="4" fillId="3" borderId="7" applyAlignment="1" pivotButton="0" quotePrefix="0" xfId="0">
      <alignment horizontal="center" vertical="center"/>
    </xf>
    <xf numFmtId="0" fontId="4" fillId="0" borderId="7" applyAlignment="1" pivotButton="0" quotePrefix="0" xfId="0">
      <alignment horizontal="center"/>
    </xf>
    <xf numFmtId="0" fontId="4" fillId="3" borderId="9" pivotButton="0" quotePrefix="0" xfId="0"/>
    <xf numFmtId="0" fontId="4" fillId="0" borderId="10" pivotButton="0" quotePrefix="0" xfId="0"/>
    <xf numFmtId="0" fontId="4" fillId="5" borderId="11" pivotButton="0" quotePrefix="0" xfId="0"/>
    <xf numFmtId="0" fontId="4" fillId="5" borderId="12" pivotButton="0" quotePrefix="0" xfId="0"/>
    <xf numFmtId="0" fontId="4" fillId="3" borderId="2" applyAlignment="1" pivotButton="0" quotePrefix="0" xfId="0">
      <alignment vertical="center"/>
    </xf>
    <xf numFmtId="0" fontId="8" fillId="0" borderId="7" applyAlignment="1" pivotButton="0" quotePrefix="0" xfId="0">
      <alignment horizontal="center" vertical="center"/>
    </xf>
    <xf numFmtId="0" fontId="8" fillId="0" borderId="13" applyAlignment="1" pivotButton="0" quotePrefix="0" xfId="0">
      <alignment horizontal="left" vertical="center"/>
    </xf>
    <xf numFmtId="0" fontId="4" fillId="0" borderId="8" applyAlignment="1" pivotButton="0" quotePrefix="0" xfId="0">
      <alignment horizontal="right" vertical="center"/>
    </xf>
    <xf numFmtId="0" fontId="4" fillId="6" borderId="9" applyAlignment="1" pivotButton="0" quotePrefix="0" xfId="0">
      <alignment horizontal="center" vertical="center"/>
    </xf>
    <xf numFmtId="169" fontId="4" fillId="3" borderId="8" applyAlignment="1" pivotButton="0" quotePrefix="0" xfId="0">
      <alignment vertical="center"/>
    </xf>
    <xf numFmtId="0" fontId="4" fillId="3" borderId="7" applyAlignment="1" pivotButton="0" quotePrefix="0" xfId="0">
      <alignment horizontal="left"/>
    </xf>
    <xf numFmtId="0" fontId="8" fillId="0" borderId="2" applyAlignment="1" pivotButton="0" quotePrefix="0" xfId="0">
      <alignment vertical="center"/>
    </xf>
    <xf numFmtId="0" fontId="8" fillId="0" borderId="4" applyAlignment="1" pivotButton="0" quotePrefix="0" xfId="0">
      <alignment horizontal="center" vertical="center"/>
    </xf>
    <xf numFmtId="0" fontId="8" fillId="0" borderId="13" applyAlignment="1" pivotButton="0" quotePrefix="0" xfId="0">
      <alignment horizontal="center" vertical="center"/>
    </xf>
    <xf numFmtId="0" fontId="4" fillId="3" borderId="8" applyAlignment="1" pivotButton="0" quotePrefix="0" xfId="0">
      <alignment horizontal="center" vertical="center"/>
    </xf>
    <xf numFmtId="0" fontId="4" fillId="3" borderId="9" applyAlignment="1" pivotButton="0" quotePrefix="0" xfId="0">
      <alignment horizontal="center" vertical="center"/>
    </xf>
    <xf numFmtId="0" fontId="8" fillId="0" borderId="18" applyAlignment="1" pivotButton="0" quotePrefix="0" xfId="0">
      <alignment horizontal="left" vertical="center"/>
    </xf>
    <xf numFmtId="0" fontId="8" fillId="0" borderId="18" applyAlignment="1" pivotButton="0" quotePrefix="0" xfId="0">
      <alignment horizontal="center" vertical="center" textRotation="255"/>
    </xf>
    <xf numFmtId="0" fontId="8" fillId="0" borderId="18" applyAlignment="1" pivotButton="0" quotePrefix="0" xfId="0">
      <alignment horizontal="center" vertical="center"/>
    </xf>
    <xf numFmtId="0" fontId="8" fillId="0" borderId="0" pivotButton="0" quotePrefix="0" xfId="0"/>
    <xf numFmtId="0" fontId="4" fillId="0" borderId="24" pivotButton="0" quotePrefix="0" xfId="0"/>
    <xf numFmtId="0" fontId="8" fillId="0" borderId="7" applyAlignment="1" pivotButton="0" quotePrefix="0" xfId="0">
      <alignment horizontal="center" vertical="center" wrapText="1"/>
    </xf>
    <xf numFmtId="0" fontId="8" fillId="0" borderId="7" applyAlignment="1" pivotButton="0" quotePrefix="0" xfId="0">
      <alignment vertical="center"/>
    </xf>
    <xf numFmtId="0" fontId="4" fillId="0" borderId="18" applyAlignment="1" pivotButton="0" quotePrefix="0" xfId="0">
      <alignment horizontal="center"/>
    </xf>
    <xf numFmtId="49" fontId="4" fillId="3" borderId="11" applyAlignment="1" pivotButton="0" quotePrefix="0" xfId="0">
      <alignment horizontal="center"/>
    </xf>
    <xf numFmtId="0" fontId="4" fillId="0" borderId="12" pivotButton="0" quotePrefix="0" xfId="0"/>
    <xf numFmtId="0" fontId="8" fillId="0" borderId="27" applyAlignment="1" pivotButton="0" quotePrefix="0" xfId="0">
      <alignment horizontal="center" vertical="center"/>
    </xf>
    <xf numFmtId="0" fontId="4" fillId="0" borderId="7" pivotButton="0" quotePrefix="0" xfId="0"/>
    <xf numFmtId="0" fontId="4" fillId="6" borderId="9" pivotButton="0" quotePrefix="0" xfId="0"/>
    <xf numFmtId="0" fontId="14" fillId="3" borderId="8" pivotButton="0" quotePrefix="0" xfId="0"/>
    <xf numFmtId="49" fontId="4" fillId="3" borderId="9" pivotButton="0" quotePrefix="0" xfId="0"/>
    <xf numFmtId="0" fontId="4" fillId="3" borderId="8" pivotButton="0" quotePrefix="0" xfId="0"/>
    <xf numFmtId="0" fontId="8" fillId="0" borderId="13" applyAlignment="1" pivotButton="0" quotePrefix="0" xfId="0">
      <alignment horizontal="left" vertical="center" shrinkToFit="1"/>
    </xf>
    <xf numFmtId="0" fontId="8" fillId="0" borderId="28" applyAlignment="1" pivotButton="0" quotePrefix="0" xfId="0">
      <alignment horizontal="center" vertical="center"/>
    </xf>
    <xf numFmtId="49" fontId="4" fillId="3" borderId="17" applyAlignment="1" pivotButton="0" quotePrefix="0" xfId="0">
      <alignment horizontal="center" vertical="center"/>
    </xf>
    <xf numFmtId="0" fontId="4" fillId="0" borderId="23" pivotButton="0" quotePrefix="0" xfId="0"/>
    <xf numFmtId="0" fontId="8" fillId="0" borderId="8" applyAlignment="1" pivotButton="0" quotePrefix="0" xfId="0">
      <alignment vertical="center"/>
    </xf>
    <xf numFmtId="0" fontId="8" fillId="0" borderId="9" applyAlignment="1" pivotButton="0" quotePrefix="0" xfId="0">
      <alignment vertical="center"/>
    </xf>
    <xf numFmtId="0" fontId="8" fillId="0" borderId="10" applyAlignment="1" pivotButton="0" quotePrefix="0" xfId="0">
      <alignment vertical="center"/>
    </xf>
    <xf numFmtId="0" fontId="4" fillId="3" borderId="18" applyAlignment="1" pivotButton="0" quotePrefix="0" xfId="0">
      <alignment horizontal="center" vertical="center"/>
    </xf>
    <xf numFmtId="49" fontId="4" fillId="3" borderId="29" applyAlignment="1" pivotButton="0" quotePrefix="0" xfId="0">
      <alignment horizontal="center" vertical="center"/>
    </xf>
    <xf numFmtId="49" fontId="4" fillId="3" borderId="18" applyAlignment="1" pivotButton="0" quotePrefix="0" xfId="0">
      <alignment horizontal="center" vertical="center"/>
    </xf>
    <xf numFmtId="0" fontId="4" fillId="0" borderId="19" applyAlignment="1" pivotButton="0" quotePrefix="0" xfId="0">
      <alignment horizontal="center"/>
    </xf>
    <xf numFmtId="49" fontId="4" fillId="3" borderId="8" applyAlignment="1" pivotButton="0" quotePrefix="0" xfId="0">
      <alignment horizontal="center"/>
    </xf>
    <xf numFmtId="0" fontId="4" fillId="0" borderId="7" applyAlignment="1" pivotButton="0" quotePrefix="0" xfId="0">
      <alignment horizontal="center" shrinkToFit="1"/>
    </xf>
    <xf numFmtId="0" fontId="9" fillId="0" borderId="7" applyAlignment="1" pivotButton="0" quotePrefix="0" xfId="0">
      <alignment vertical="center"/>
    </xf>
    <xf numFmtId="0" fontId="8" fillId="0" borderId="0" applyAlignment="1" pivotButton="0" quotePrefix="0" xfId="0">
      <alignment horizontal="left"/>
    </xf>
    <xf numFmtId="0" fontId="8" fillId="0" borderId="18" applyAlignment="1" pivotButton="0" quotePrefix="0" xfId="0">
      <alignment vertical="center"/>
    </xf>
    <xf numFmtId="0" fontId="8" fillId="3" borderId="0" pivotButton="0" quotePrefix="0" xfId="0"/>
    <xf numFmtId="0" fontId="15" fillId="0" borderId="0" applyAlignment="1" pivotButton="0" quotePrefix="0" xfId="0">
      <alignment vertical="center" wrapText="1"/>
    </xf>
    <xf numFmtId="0" fontId="8" fillId="0" borderId="7" applyAlignment="1" pivotButton="0" quotePrefix="0" xfId="0">
      <alignment horizontal="center" vertical="center" textRotation="255" wrapText="1"/>
    </xf>
    <xf numFmtId="0" fontId="8" fillId="0" borderId="5" applyAlignment="1" pivotButton="0" quotePrefix="0" xfId="0">
      <alignment vertical="center"/>
    </xf>
    <xf numFmtId="0" fontId="8" fillId="0" borderId="3" applyAlignment="1" pivotButton="0" quotePrefix="0" xfId="0">
      <alignment vertical="center"/>
    </xf>
    <xf numFmtId="0" fontId="8" fillId="0" borderId="4" applyAlignment="1" pivotButton="0" quotePrefix="0" xfId="0">
      <alignment vertical="center"/>
    </xf>
    <xf numFmtId="0" fontId="8" fillId="0" borderId="6" applyAlignment="1" pivotButton="0" quotePrefix="0" xfId="0">
      <alignment vertical="center"/>
    </xf>
    <xf numFmtId="0" fontId="8" fillId="0" borderId="5" applyAlignment="1" pivotButton="0" quotePrefix="0" xfId="0">
      <alignment horizontal="left" vertical="center"/>
    </xf>
    <xf numFmtId="0" fontId="8" fillId="0" borderId="0" applyAlignment="1" pivotButton="0" quotePrefix="0" xfId="0">
      <alignment vertical="center" wrapText="1"/>
    </xf>
    <xf numFmtId="0" fontId="8" fillId="0" borderId="6" applyAlignment="1" pivotButton="0" quotePrefix="0" xfId="0">
      <alignment vertical="center" wrapText="1"/>
    </xf>
    <xf numFmtId="0" fontId="8" fillId="0" borderId="11" applyAlignment="1" pivotButton="0" quotePrefix="0" xfId="0">
      <alignment vertical="center"/>
    </xf>
    <xf numFmtId="0" fontId="8" fillId="0" borderId="1" applyAlignment="1" pivotButton="0" quotePrefix="0" xfId="0">
      <alignment vertical="center"/>
    </xf>
    <xf numFmtId="0" fontId="8" fillId="0" borderId="12" applyAlignment="1" pivotButton="0" quotePrefix="0" xfId="0">
      <alignment vertical="center"/>
    </xf>
    <xf numFmtId="0" fontId="8" fillId="0" borderId="1" applyAlignment="1" pivotButton="0" quotePrefix="0" xfId="0">
      <alignment vertical="center" wrapText="1"/>
    </xf>
    <xf numFmtId="0" fontId="8" fillId="0" borderId="12" applyAlignment="1" pivotButton="0" quotePrefix="0" xfId="0">
      <alignment vertical="center" wrapText="1"/>
    </xf>
    <xf numFmtId="0" fontId="2" fillId="3" borderId="0" applyAlignment="1" pivotButton="0" quotePrefix="0" xfId="0">
      <alignment horizontal="center"/>
    </xf>
    <xf numFmtId="0" fontId="2" fillId="7" borderId="0" applyAlignment="1" pivotButton="0" quotePrefix="0" xfId="0">
      <alignment horizontal="center"/>
    </xf>
    <xf numFmtId="0" fontId="2" fillId="0" borderId="0" applyAlignment="1" pivotButton="0" quotePrefix="0" xfId="0">
      <alignment horizontal="center"/>
    </xf>
    <xf numFmtId="170" fontId="2" fillId="7" borderId="0" applyAlignment="1" pivotButton="0" quotePrefix="0" xfId="0">
      <alignment horizontal="center"/>
    </xf>
    <xf numFmtId="0" fontId="16" fillId="4" borderId="0" pivotButton="0" quotePrefix="0" xfId="0"/>
    <xf numFmtId="0" fontId="4" fillId="0" borderId="30" applyAlignment="1" pivotButton="0" quotePrefix="0" xfId="0">
      <alignment horizontal="center" vertical="center"/>
    </xf>
    <xf numFmtId="0" fontId="4" fillId="0" borderId="24" applyAlignment="1" pivotButton="0" quotePrefix="0" xfId="0">
      <alignment horizontal="right" vertical="center"/>
    </xf>
    <xf numFmtId="168" fontId="4" fillId="0" borderId="7" applyAlignment="1" pivotButton="0" quotePrefix="0" xfId="0">
      <alignment horizontal="center" vertical="center"/>
    </xf>
    <xf numFmtId="0" fontId="4" fillId="5" borderId="31" pivotButton="0" quotePrefix="0" xfId="0"/>
    <xf numFmtId="0" fontId="4" fillId="0" borderId="24" applyAlignment="1" pivotButton="0" quotePrefix="0" xfId="0">
      <alignment vertical="center"/>
    </xf>
    <xf numFmtId="0" fontId="4" fillId="0" borderId="17" applyAlignment="1" pivotButton="0" quotePrefix="0" xfId="0">
      <alignment horizontal="center"/>
    </xf>
    <xf numFmtId="0" fontId="4" fillId="0" borderId="13" applyAlignment="1" pivotButton="0" quotePrefix="0" xfId="0">
      <alignment horizontal="center"/>
    </xf>
    <xf numFmtId="49" fontId="4" fillId="0" borderId="9" applyAlignment="1" pivotButton="0" quotePrefix="0" xfId="0">
      <alignment horizontal="center"/>
    </xf>
    <xf numFmtId="49" fontId="4" fillId="0" borderId="10" applyAlignment="1" pivotButton="0" quotePrefix="0" xfId="0">
      <alignment horizontal="center"/>
    </xf>
    <xf numFmtId="0" fontId="4" fillId="0" borderId="18" pivotButton="0" quotePrefix="0" xfId="0"/>
    <xf numFmtId="0" fontId="4" fillId="0" borderId="0" applyAlignment="1" pivotButton="0" quotePrefix="0" xfId="0">
      <alignment vertical="center" shrinkToFit="1"/>
    </xf>
    <xf numFmtId="0" fontId="5" fillId="4" borderId="0" pivotButton="0" quotePrefix="0" xfId="0"/>
    <xf numFmtId="49" fontId="4" fillId="0" borderId="11" applyAlignment="1" pivotButton="0" quotePrefix="0" xfId="0">
      <alignment horizontal="center"/>
    </xf>
    <xf numFmtId="0" fontId="14" fillId="0" borderId="8" pivotButton="0" quotePrefix="0" xfId="0"/>
    <xf numFmtId="49" fontId="4" fillId="0" borderId="9" pivotButton="0" quotePrefix="0" xfId="0"/>
    <xf numFmtId="49" fontId="4" fillId="0" borderId="17" applyAlignment="1" pivotButton="0" quotePrefix="0" xfId="0">
      <alignment horizontal="center" vertical="center"/>
    </xf>
    <xf numFmtId="49" fontId="4" fillId="0" borderId="18" applyAlignment="1" pivotButton="0" quotePrefix="0" xfId="0">
      <alignment horizontal="center" vertical="center"/>
    </xf>
    <xf numFmtId="49" fontId="4" fillId="0" borderId="2" applyAlignment="1" pivotButton="0" quotePrefix="0" xfId="0">
      <alignment horizontal="center"/>
    </xf>
    <xf numFmtId="0" fontId="4" fillId="0" borderId="4" pivotButton="0" quotePrefix="0" xfId="0"/>
    <xf numFmtId="0" fontId="4" fillId="0" borderId="17" pivotButton="0" quotePrefix="0" xfId="0"/>
    <xf numFmtId="0" fontId="4" fillId="0" borderId="32" pivotButton="0" quotePrefix="0" xfId="0"/>
    <xf numFmtId="0" fontId="14" fillId="0" borderId="30" pivotButton="0" quotePrefix="0" xfId="0"/>
    <xf numFmtId="0" fontId="4" fillId="0" borderId="22" pivotButton="0" quotePrefix="0" xfId="0"/>
    <xf numFmtId="49" fontId="4" fillId="0" borderId="32" pivotButton="0" quotePrefix="0" xfId="0"/>
    <xf numFmtId="0" fontId="4" fillId="0" borderId="30" pivotButton="0" quotePrefix="0" xfId="0"/>
    <xf numFmtId="0" fontId="8" fillId="0" borderId="33" applyAlignment="1" pivotButton="0" quotePrefix="0" xfId="0">
      <alignment horizontal="left" vertical="center" wrapText="1"/>
    </xf>
    <xf numFmtId="0" fontId="8" fillId="0" borderId="34" applyAlignment="1" pivotButton="0" quotePrefix="0" xfId="0">
      <alignment horizontal="left" vertical="center"/>
    </xf>
    <xf numFmtId="0" fontId="8" fillId="0" borderId="13" applyAlignment="1" pivotButton="0" quotePrefix="0" xfId="0">
      <alignment horizontal="left" vertical="center" indent="1"/>
    </xf>
    <xf numFmtId="0" fontId="8" fillId="0" borderId="19" applyAlignment="1" pivotButton="0" quotePrefix="0" xfId="0">
      <alignment horizontal="left" vertical="center" wrapText="1" indent="1"/>
    </xf>
    <xf numFmtId="0" fontId="8" fillId="0" borderId="19" applyAlignment="1" pivotButton="0" quotePrefix="0" xfId="0">
      <alignment horizontal="left" vertical="center" indent="1"/>
    </xf>
    <xf numFmtId="0" fontId="17" fillId="0" borderId="0" applyAlignment="1" pivotButton="0" quotePrefix="0" xfId="0">
      <alignment vertical="center"/>
    </xf>
    <xf numFmtId="0" fontId="18" fillId="0" borderId="0" applyAlignment="1" pivotButton="0" quotePrefix="0" xfId="0">
      <alignment vertical="center"/>
    </xf>
    <xf numFmtId="0" fontId="3" fillId="0" borderId="13" applyAlignment="1" pivotButton="0" quotePrefix="0" xfId="0">
      <alignment horizontal="center" vertical="center"/>
    </xf>
    <xf numFmtId="0" fontId="4" fillId="0" borderId="0" applyAlignment="1" pivotButton="0" quotePrefix="0" xfId="0">
      <alignment vertical="center" wrapText="1"/>
    </xf>
    <xf numFmtId="0" fontId="4" fillId="0" borderId="6" applyAlignment="1" pivotButton="0" quotePrefix="0" xfId="0">
      <alignment horizontal="right" vertical="center"/>
    </xf>
    <xf numFmtId="0" fontId="4" fillId="0" borderId="6" pivotButton="0" quotePrefix="0" xfId="0"/>
    <xf numFmtId="0" fontId="4" fillId="0" borderId="5" pivotButton="0" quotePrefix="0" xfId="0"/>
    <xf numFmtId="0" fontId="19" fillId="0" borderId="5" applyAlignment="1" pivotButton="0" quotePrefix="0" xfId="0">
      <alignment vertical="center"/>
    </xf>
    <xf numFmtId="0" fontId="19" fillId="0" borderId="0" applyAlignment="1" pivotButton="0" quotePrefix="0" xfId="0">
      <alignment vertical="center" wrapText="1"/>
    </xf>
    <xf numFmtId="0" fontId="4" fillId="3" borderId="0" applyAlignment="1" pivotButton="0" quotePrefix="0" xfId="0">
      <alignment horizontal="left"/>
    </xf>
    <xf numFmtId="0" fontId="4" fillId="0" borderId="19" applyAlignment="1" pivotButton="0" quotePrefix="0" xfId="0">
      <alignment horizontal="left" vertical="center" wrapText="1"/>
    </xf>
    <xf numFmtId="0" fontId="4" fillId="0" borderId="7" applyAlignment="1" pivotButton="0" quotePrefix="0" xfId="0">
      <alignment horizontal="left" vertical="center" wrapText="1"/>
    </xf>
    <xf numFmtId="0" fontId="4" fillId="0" borderId="7" applyAlignment="1" pivotButton="0" quotePrefix="0" xfId="0">
      <alignment horizontal="center" vertical="center" textRotation="255" wrapText="1"/>
    </xf>
    <xf numFmtId="0" fontId="4" fillId="0" borderId="8" applyAlignment="1" pivotButton="0" quotePrefix="0" xfId="0">
      <alignment horizontal="left" vertical="center" shrinkToFit="1"/>
    </xf>
    <xf numFmtId="0" fontId="4" fillId="0" borderId="10" applyAlignment="1" pivotButton="0" quotePrefix="0" xfId="0">
      <alignment horizontal="left" vertical="center" wrapText="1"/>
    </xf>
    <xf numFmtId="0" fontId="4" fillId="0" borderId="8" applyAlignment="1" pivotButton="0" quotePrefix="0" xfId="0">
      <alignment horizontal="left" vertical="center" wrapText="1"/>
    </xf>
    <xf numFmtId="0" fontId="4" fillId="0" borderId="9" applyAlignment="1" pivotButton="0" quotePrefix="0" xfId="0">
      <alignment horizontal="left" vertical="center" wrapText="1"/>
    </xf>
    <xf numFmtId="171" fontId="4" fillId="0" borderId="10" applyAlignment="1" pivotButton="0" quotePrefix="0" xfId="0">
      <alignment horizontal="left" vertical="center" wrapText="1"/>
    </xf>
    <xf numFmtId="0" fontId="4" fillId="0" borderId="13" applyAlignment="1" pivotButton="0" quotePrefix="0" xfId="0">
      <alignment horizontal="left" vertical="center" wrapText="1"/>
    </xf>
    <xf numFmtId="0" fontId="4" fillId="0" borderId="18" applyAlignment="1" pivotButton="0" quotePrefix="0" xfId="0">
      <alignment horizontal="left" vertical="center" wrapText="1"/>
    </xf>
    <xf numFmtId="0" fontId="1" fillId="0" borderId="8" applyAlignment="1" pivotButton="0" quotePrefix="0" xfId="0">
      <alignment horizontal="right" textRotation="255"/>
    </xf>
    <xf numFmtId="0" fontId="4" fillId="0" borderId="2" applyAlignment="1" pivotButton="0" quotePrefix="0" xfId="0">
      <alignment horizontal="right" wrapText="1"/>
    </xf>
    <xf numFmtId="0" fontId="4" fillId="0" borderId="4" applyAlignment="1" pivotButton="0" quotePrefix="0" xfId="0">
      <alignment horizontal="center" wrapText="1"/>
    </xf>
    <xf numFmtId="0" fontId="4" fillId="0" borderId="13" applyAlignment="1" pivotButton="0" quotePrefix="0" xfId="0">
      <alignment horizontal="center" wrapText="1"/>
    </xf>
    <xf numFmtId="0" fontId="4" fillId="0" borderId="11" applyAlignment="1" pivotButton="0" quotePrefix="0" xfId="0">
      <alignment vertical="center" wrapText="1"/>
    </xf>
    <xf numFmtId="0" fontId="4" fillId="0" borderId="12" applyAlignment="1" pivotButton="0" quotePrefix="0" xfId="0">
      <alignment horizontal="center" vertical="top"/>
    </xf>
    <xf numFmtId="0" fontId="4" fillId="0" borderId="18" applyAlignment="1" pivotButton="0" quotePrefix="0" xfId="0">
      <alignment horizontal="center" vertical="top" wrapText="1"/>
    </xf>
    <xf numFmtId="0" fontId="4" fillId="3" borderId="0" pivotButton="0" quotePrefix="0" xfId="0"/>
    <xf numFmtId="0" fontId="20" fillId="0" borderId="7" applyAlignment="1" pivotButton="0" quotePrefix="0" xfId="0">
      <alignment horizontal="center" vertical="center" wrapText="1"/>
    </xf>
    <xf numFmtId="0" fontId="2" fillId="0" borderId="7" applyAlignment="1" pivotButton="0" quotePrefix="0" xfId="0">
      <alignment horizontal="center"/>
    </xf>
    <xf numFmtId="0" fontId="20" fillId="0" borderId="0" applyAlignment="1" pivotButton="0" quotePrefix="0" xfId="0">
      <alignment vertical="center"/>
    </xf>
    <xf numFmtId="0" fontId="21" fillId="0" borderId="0" applyAlignment="1" pivotButton="0" quotePrefix="0" xfId="0">
      <alignment horizontal="left" vertical="center"/>
    </xf>
    <xf numFmtId="0" fontId="10" fillId="0" borderId="13" applyAlignment="1" pivotButton="0" quotePrefix="0" xfId="0">
      <alignment horizontal="center" vertical="center" wrapText="1"/>
    </xf>
    <xf numFmtId="0" fontId="10" fillId="0" borderId="19" applyAlignment="1" pivotButton="0" quotePrefix="0" xfId="0">
      <alignment horizontal="center" vertical="center" wrapText="1"/>
    </xf>
    <xf numFmtId="0" fontId="10" fillId="0" borderId="19" applyAlignment="1" pivotButton="0" quotePrefix="0" xfId="0">
      <alignment horizontal="justify" vertical="center" wrapText="1"/>
    </xf>
    <xf numFmtId="0" fontId="10" fillId="0" borderId="19" applyAlignment="1" pivotButton="0" quotePrefix="0" xfId="0">
      <alignment horizontal="right" vertical="center" wrapText="1"/>
    </xf>
    <xf numFmtId="0" fontId="2" fillId="0" borderId="5" pivotButton="0" quotePrefix="0" xfId="0"/>
    <xf numFmtId="0" fontId="10" fillId="0" borderId="0" applyAlignment="1" pivotButton="0" quotePrefix="0" xfId="0">
      <alignment vertical="center" wrapText="1"/>
    </xf>
    <xf numFmtId="0" fontId="10" fillId="0" borderId="0" applyAlignment="1" pivotButton="0" quotePrefix="0" xfId="0">
      <alignment vertical="center"/>
    </xf>
    <xf numFmtId="0" fontId="10" fillId="0" borderId="6" applyAlignment="1" pivotButton="0" quotePrefix="0" xfId="0">
      <alignment vertical="center" wrapText="1"/>
    </xf>
    <xf numFmtId="0" fontId="10" fillId="0" borderId="5" applyAlignment="1" pivotButton="0" quotePrefix="0" xfId="0">
      <alignment vertical="center" wrapText="1"/>
    </xf>
    <xf numFmtId="0" fontId="10" fillId="0" borderId="0" applyAlignment="1" pivotButton="0" quotePrefix="0" xfId="0">
      <alignment horizontal="left" vertical="center"/>
    </xf>
    <xf numFmtId="0" fontId="10" fillId="0" borderId="6" applyAlignment="1" pivotButton="0" quotePrefix="0" xfId="0">
      <alignment horizontal="left" vertical="center" wrapText="1"/>
    </xf>
    <xf numFmtId="0" fontId="2" fillId="0" borderId="11" pivotButton="0" quotePrefix="0" xfId="0"/>
    <xf numFmtId="0" fontId="2" fillId="0" borderId="1" pivotButton="0" quotePrefix="0" xfId="0"/>
    <xf numFmtId="0" fontId="2" fillId="0" borderId="12" pivotButton="0" quotePrefix="0" xfId="0"/>
    <xf numFmtId="0" fontId="21" fillId="0" borderId="7" applyAlignment="1" pivotButton="0" quotePrefix="0" xfId="0">
      <alignment horizontal="justify" vertical="center" wrapText="1"/>
    </xf>
    <xf numFmtId="0" fontId="1" fillId="0" borderId="7" applyAlignment="1" pivotButton="0" quotePrefix="0" xfId="0">
      <alignment horizontal="justify" vertical="center" wrapText="1"/>
    </xf>
    <xf numFmtId="171" fontId="21" fillId="0" borderId="7" applyAlignment="1" pivotButton="0" quotePrefix="0" xfId="0">
      <alignment horizontal="right" vertical="center" wrapText="1"/>
    </xf>
    <xf numFmtId="0" fontId="21" fillId="0" borderId="7" applyAlignment="1" pivotButton="0" quotePrefix="0" xfId="0">
      <alignment horizontal="center" vertical="center" wrapText="1"/>
    </xf>
    <xf numFmtId="0" fontId="21" fillId="0" borderId="7" applyAlignment="1" pivotButton="0" quotePrefix="0" xfId="0">
      <alignment horizontal="left" vertical="center" wrapText="1"/>
    </xf>
    <xf numFmtId="0" fontId="2" fillId="4" borderId="0" pivotButton="0" quotePrefix="0" xfId="0"/>
    <xf numFmtId="0" fontId="1" fillId="0" borderId="7" applyAlignment="1" pivotButton="0" quotePrefix="0" xfId="0">
      <alignment horizontal="center" vertical="center" shrinkToFit="1"/>
    </xf>
    <xf numFmtId="0" fontId="2" fillId="3" borderId="0" pivotButton="0" quotePrefix="0" xfId="0"/>
    <xf numFmtId="0" fontId="1" fillId="0" borderId="7" applyAlignment="1" pivotButton="0" quotePrefix="0" xfId="0">
      <alignment horizontal="center" vertical="center" wrapText="1"/>
    </xf>
    <xf numFmtId="0" fontId="21" fillId="0" borderId="7" applyAlignment="1" pivotButton="0" quotePrefix="0" xfId="0">
      <alignment horizontal="center" vertical="center" textRotation="255" wrapText="1"/>
    </xf>
    <xf numFmtId="0" fontId="9" fillId="0" borderId="7" applyAlignment="1" pivotButton="0" quotePrefix="0" xfId="0">
      <alignment horizontal="center" vertical="center" shrinkToFit="1"/>
    </xf>
    <xf numFmtId="0" fontId="21" fillId="0" borderId="18" applyAlignment="1" pivotButton="0" quotePrefix="0" xfId="0">
      <alignment horizontal="center" vertical="center" wrapText="1"/>
    </xf>
    <xf numFmtId="168" fontId="1" fillId="0" borderId="7" applyAlignment="1" pivotButton="0" quotePrefix="0" xfId="0">
      <alignment horizontal="center" vertical="center" wrapText="1"/>
    </xf>
    <xf numFmtId="0" fontId="2" fillId="8" borderId="0" pivotButton="0" quotePrefix="0" xfId="0"/>
    <xf numFmtId="168" fontId="1" fillId="0" borderId="18" applyAlignment="1" pivotButton="0" quotePrefix="0" xfId="0">
      <alignment horizontal="center" vertical="center" wrapText="1"/>
    </xf>
    <xf numFmtId="168" fontId="21" fillId="0" borderId="7" applyAlignment="1" pivotButton="0" quotePrefix="0" xfId="0">
      <alignment horizontal="center" vertical="center" wrapText="1"/>
    </xf>
    <xf numFmtId="0" fontId="2" fillId="9" borderId="0" pivotButton="0" quotePrefix="0" xfId="0"/>
    <xf numFmtId="0" fontId="8" fillId="0" borderId="7" applyAlignment="1" pivotButton="0" quotePrefix="0" xfId="0">
      <alignment horizontal="justify" vertical="center" wrapText="1"/>
    </xf>
    <xf numFmtId="0" fontId="21" fillId="0" borderId="7" applyAlignment="1" pivotButton="0" quotePrefix="0" xfId="0">
      <alignment horizontal="right" vertical="center" wrapText="1"/>
    </xf>
    <xf numFmtId="168" fontId="21" fillId="0" borderId="7" applyAlignment="1" pivotButton="0" quotePrefix="0" xfId="0">
      <alignment horizontal="right" vertical="center" wrapText="1"/>
    </xf>
    <xf numFmtId="0" fontId="8" fillId="0" borderId="7" applyAlignment="1" pivotButton="0" quotePrefix="0" xfId="0">
      <alignment horizontal="center" vertical="center" shrinkToFit="1"/>
    </xf>
    <xf numFmtId="0" fontId="8" fillId="0" borderId="0" applyAlignment="1" pivotButton="0" quotePrefix="0" xfId="0">
      <alignment horizontal="justify" vertical="center" wrapText="1"/>
    </xf>
    <xf numFmtId="0" fontId="8" fillId="0" borderId="0" applyAlignment="1" pivotButton="0" quotePrefix="0" xfId="0">
      <alignment horizontal="center" vertical="center" shrinkToFit="1"/>
    </xf>
    <xf numFmtId="0" fontId="21" fillId="0" borderId="0" applyAlignment="1" pivotButton="0" quotePrefix="0" xfId="0">
      <alignment horizontal="justify" vertical="center" wrapText="1"/>
    </xf>
    <xf numFmtId="0" fontId="21" fillId="0" borderId="1" applyAlignment="1" pivotButton="0" quotePrefix="0" xfId="0">
      <alignment vertical="center"/>
    </xf>
    <xf numFmtId="0" fontId="21" fillId="0" borderId="1" applyAlignment="1" pivotButton="0" quotePrefix="0" xfId="0">
      <alignment horizontal="right" vertical="center"/>
    </xf>
    <xf numFmtId="0" fontId="21" fillId="0" borderId="7" applyAlignment="1" pivotButton="0" quotePrefix="0" xfId="0">
      <alignment horizontal="center" vertical="center" shrinkToFit="1"/>
    </xf>
    <xf numFmtId="0" fontId="21" fillId="0" borderId="7" applyAlignment="1" pivotButton="0" quotePrefix="0" xfId="0">
      <alignment horizontal="center" vertical="distributed" textRotation="255" wrapText="1" indent="1"/>
    </xf>
    <xf numFmtId="0" fontId="21" fillId="0" borderId="7" applyAlignment="1" pivotButton="0" quotePrefix="0" xfId="0">
      <alignment horizontal="distributed" vertical="center" wrapText="1" indent="1"/>
    </xf>
    <xf numFmtId="0" fontId="2" fillId="5" borderId="13" pivotButton="0" quotePrefix="0" xfId="0"/>
    <xf numFmtId="0" fontId="21" fillId="0" borderId="7" applyAlignment="1" pivotButton="0" quotePrefix="0" xfId="0">
      <alignment horizontal="distributed" vertical="center" wrapText="1"/>
    </xf>
    <xf numFmtId="0" fontId="2" fillId="5" borderId="19" pivotButton="0" quotePrefix="0" xfId="0"/>
    <xf numFmtId="0" fontId="2" fillId="5" borderId="18" pivotButton="0" quotePrefix="0" xfId="0"/>
    <xf numFmtId="0" fontId="21" fillId="0" borderId="7" applyAlignment="1" pivotButton="0" quotePrefix="0" xfId="0">
      <alignment horizontal="center" vertical="center"/>
    </xf>
    <xf numFmtId="0" fontId="1" fillId="0" borderId="10" applyAlignment="1" pivotButton="0" quotePrefix="0" xfId="0">
      <alignment horizontal="center" vertical="center" textRotation="255" shrinkToFit="1"/>
    </xf>
    <xf numFmtId="0" fontId="21" fillId="0" borderId="7" applyAlignment="1" pivotButton="0" quotePrefix="0" xfId="0">
      <alignment horizontal="distributed" vertical="distributed" wrapText="1" indent="1"/>
    </xf>
    <xf numFmtId="0" fontId="21" fillId="0" borderId="7" applyAlignment="1" pivotButton="0" quotePrefix="0" xfId="0">
      <alignment horizontal="distributed" vertical="center" textRotation="255" wrapText="1" indent="1"/>
    </xf>
    <xf numFmtId="0" fontId="21" fillId="0" borderId="3" applyAlignment="1" pivotButton="0" quotePrefix="0" xfId="0">
      <alignment horizontal="center" vertical="distributed" textRotation="255" wrapText="1"/>
    </xf>
    <xf numFmtId="0" fontId="21" fillId="0" borderId="3" applyAlignment="1" pivotButton="0" quotePrefix="0" xfId="0">
      <alignment horizontal="distributed" vertical="distributed" wrapText="1" indent="1"/>
    </xf>
    <xf numFmtId="0" fontId="21" fillId="0" borderId="3" applyAlignment="1" pivotButton="0" quotePrefix="0" xfId="0">
      <alignment horizontal="distributed" vertical="center" textRotation="255" wrapText="1" indent="1"/>
    </xf>
    <xf numFmtId="0" fontId="21" fillId="0" borderId="3" applyAlignment="1" pivotButton="0" quotePrefix="0" xfId="0">
      <alignment horizontal="distributed" vertical="center" wrapText="1" indent="1"/>
    </xf>
    <xf numFmtId="0" fontId="21" fillId="0" borderId="3" applyAlignment="1" pivotButton="0" quotePrefix="0" xfId="0">
      <alignment horizontal="center" vertical="center" shrinkToFit="1"/>
    </xf>
    <xf numFmtId="0" fontId="21" fillId="0" borderId="3" applyAlignment="1" pivotButton="0" quotePrefix="0" xfId="0">
      <alignment horizontal="center" vertical="center" wrapText="1"/>
    </xf>
    <xf numFmtId="0" fontId="1" fillId="0" borderId="7" applyAlignment="1" pivotButton="0" quotePrefix="0" xfId="0">
      <alignment horizontal="center" vertical="distributed" textRotation="255" wrapText="1" indent="3"/>
    </xf>
    <xf numFmtId="0" fontId="1" fillId="0" borderId="7" applyAlignment="1" pivotButton="0" quotePrefix="0" xfId="0">
      <alignment horizontal="distributed" vertical="center" wrapText="1" indent="1"/>
    </xf>
    <xf numFmtId="0" fontId="1" fillId="0" borderId="13" applyAlignment="1" pivotButton="0" quotePrefix="0" xfId="0">
      <alignment horizontal="center" vertical="center" shrinkToFit="1"/>
    </xf>
    <xf numFmtId="0" fontId="1" fillId="0" borderId="13" applyAlignment="1" pivotButton="0" quotePrefix="0" xfId="0">
      <alignment horizontal="distributed" vertical="center" wrapText="1" indent="1"/>
    </xf>
    <xf numFmtId="0" fontId="1" fillId="0" borderId="7" applyAlignment="1" pivotButton="0" quotePrefix="0" xfId="0">
      <alignment horizontal="right" vertical="center" wrapText="1"/>
    </xf>
    <xf numFmtId="0" fontId="1" fillId="0" borderId="13" applyAlignment="1" pivotButton="0" quotePrefix="0" xfId="0">
      <alignment horizontal="distributed" vertical="center" wrapText="1"/>
    </xf>
    <xf numFmtId="0" fontId="1" fillId="0" borderId="13" applyAlignment="1" pivotButton="0" quotePrefix="0" xfId="0">
      <alignment horizontal="center" vertical="center" wrapText="1"/>
    </xf>
    <xf numFmtId="0" fontId="1" fillId="0" borderId="7" applyAlignment="1" pivotButton="0" quotePrefix="0" xfId="0">
      <alignment horizontal="distributed" vertical="center" wrapText="1" indent="2"/>
    </xf>
    <xf numFmtId="0" fontId="1" fillId="0" borderId="7" applyAlignment="1" pivotButton="0" quotePrefix="0" xfId="0">
      <alignment horizontal="left" vertical="center" wrapText="1"/>
    </xf>
    <xf numFmtId="0" fontId="22" fillId="0" borderId="0" pivotButton="0" quotePrefix="0" xfId="0"/>
    <xf numFmtId="0" fontId="1" fillId="0" borderId="0" applyAlignment="1" pivotButton="0" quotePrefix="0" xfId="0">
      <alignment horizontal="left" vertical="center" wrapText="1"/>
    </xf>
    <xf numFmtId="0" fontId="8" fillId="0" borderId="0" applyAlignment="1" pivotButton="0" quotePrefix="0" xfId="0">
      <alignment horizontal="left" vertical="center" wrapText="1"/>
    </xf>
    <xf numFmtId="0" fontId="8"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23" fillId="0" borderId="0" applyAlignment="1" pivotButton="0" quotePrefix="0" xfId="0">
      <alignment horizontal="left" vertical="center" wrapText="1"/>
    </xf>
    <xf numFmtId="0" fontId="21" fillId="0" borderId="0" applyAlignment="1" pivotButton="0" quotePrefix="0" xfId="0">
      <alignment vertical="center" wrapText="1"/>
    </xf>
    <xf numFmtId="0" fontId="8" fillId="0" borderId="0" applyAlignment="1" pivotButton="0" quotePrefix="0" xfId="0">
      <alignment horizontal="justify" vertical="center"/>
    </xf>
    <xf numFmtId="0" fontId="21" fillId="0" borderId="0" applyAlignment="1" pivotButton="0" quotePrefix="0" xfId="0">
      <alignment horizontal="justify" vertical="center"/>
    </xf>
    <xf numFmtId="0" fontId="21" fillId="0" borderId="0" applyAlignment="1" pivotButton="0" quotePrefix="0" xfId="0">
      <alignment vertical="center" textRotation="255" wrapText="1"/>
    </xf>
    <xf numFmtId="0" fontId="21" fillId="0" borderId="0" applyAlignment="1" pivotButton="0" quotePrefix="0" xfId="0">
      <alignment horizontal="justify" vertical="center" textRotation="255" wrapText="1"/>
    </xf>
    <xf numFmtId="0" fontId="1" fillId="0" borderId="0" applyAlignment="1" pivotButton="0" quotePrefix="0" xfId="0">
      <alignment horizontal="justify" vertical="center" wrapText="1"/>
    </xf>
    <xf numFmtId="0" fontId="24" fillId="0" borderId="0" applyAlignment="1" pivotButton="0" quotePrefix="0" xfId="0">
      <alignment horizontal="center" vertical="center" wrapText="1"/>
    </xf>
    <xf numFmtId="0" fontId="25" fillId="0" borderId="0" applyAlignment="1" pivotButton="0" quotePrefix="0" xfId="0">
      <alignment horizontal="center" vertical="center" wrapText="1"/>
    </xf>
    <xf numFmtId="0" fontId="24" fillId="0" borderId="0" applyAlignment="1" pivotButton="0" quotePrefix="0" xfId="0">
      <alignment horizontal="justify" vertical="center" wrapText="1"/>
    </xf>
    <xf numFmtId="0" fontId="10" fillId="0" borderId="6" applyAlignment="1" pivotButton="0" quotePrefix="0" xfId="0">
      <alignment horizontal="left" vertical="center" shrinkToFit="1"/>
    </xf>
    <xf numFmtId="0" fontId="2" fillId="0" borderId="8" applyAlignment="1" pivotButton="0" quotePrefix="0" xfId="0">
      <alignment horizontal="center"/>
    </xf>
    <xf numFmtId="0" fontId="21" fillId="0" borderId="13" applyAlignment="1" pivotButton="0" quotePrefix="0" xfId="0">
      <alignment horizontal="center" vertical="center" wrapText="1"/>
    </xf>
    <xf numFmtId="168" fontId="21" fillId="0" borderId="13" applyAlignment="1" pivotButton="0" quotePrefix="0" xfId="0">
      <alignment horizontal="center" vertical="center" wrapText="1"/>
    </xf>
    <xf numFmtId="49" fontId="2" fillId="3" borderId="0" pivotButton="0" quotePrefix="0" xfId="0"/>
    <xf numFmtId="0" fontId="2" fillId="0" borderId="0" applyAlignment="1" pivotButton="0" quotePrefix="0" xfId="0">
      <alignment horizontal="right"/>
    </xf>
    <xf numFmtId="0" fontId="21" fillId="0" borderId="7" applyAlignment="1" pivotButton="0" quotePrefix="0" xfId="0">
      <alignment horizontal="distributed" vertical="distributed" textRotation="255" wrapText="1" indent="1"/>
    </xf>
    <xf numFmtId="0" fontId="2" fillId="2" borderId="2" pivotButton="0" quotePrefix="0" xfId="0"/>
    <xf numFmtId="0" fontId="2" fillId="2" borderId="13" pivotButton="0" quotePrefix="0" xfId="0"/>
    <xf numFmtId="0" fontId="2" fillId="2" borderId="5" pivotButton="0" quotePrefix="0" xfId="0"/>
    <xf numFmtId="0" fontId="2" fillId="2" borderId="19" pivotButton="0" quotePrefix="0" xfId="0"/>
    <xf numFmtId="0" fontId="2" fillId="2" borderId="11" pivotButton="0" quotePrefix="0" xfId="0"/>
    <xf numFmtId="0" fontId="2" fillId="2" borderId="18" pivotButton="0" quotePrefix="0" xfId="0"/>
    <xf numFmtId="0" fontId="21" fillId="0" borderId="7" applyAlignment="1" pivotButton="0" quotePrefix="0" xfId="0">
      <alignment horizontal="center" vertical="center" textRotation="255"/>
    </xf>
    <xf numFmtId="0" fontId="8" fillId="0" borderId="8" applyAlignment="1" pivotButton="0" quotePrefix="0" xfId="0">
      <alignment horizontal="right" vertical="center" textRotation="255" wrapText="1"/>
    </xf>
    <xf numFmtId="0" fontId="8" fillId="0" borderId="10" applyAlignment="1" pivotButton="0" quotePrefix="0" xfId="0">
      <alignment horizontal="left" vertical="center" textRotation="255" wrapText="1"/>
    </xf>
    <xf numFmtId="0" fontId="21" fillId="0" borderId="7" applyAlignment="1" pivotButton="0" quotePrefix="0" xfId="0">
      <alignment horizontal="center" vertical="center" textRotation="255" shrinkToFit="1"/>
    </xf>
    <xf numFmtId="0" fontId="8" fillId="0" borderId="7" applyAlignment="1" pivotButton="0" quotePrefix="0" xfId="0">
      <alignment horizontal="left" vertical="center" wrapText="1"/>
    </xf>
    <xf numFmtId="0" fontId="14" fillId="0" borderId="13" applyAlignment="1" pivotButton="0" quotePrefix="0" xfId="0">
      <alignment vertical="center" wrapText="1"/>
    </xf>
    <xf numFmtId="0" fontId="14" fillId="0" borderId="19" applyAlignment="1" pivotButton="0" quotePrefix="0" xfId="0">
      <alignment vertical="center" wrapText="1"/>
    </xf>
    <xf numFmtId="0" fontId="2" fillId="0" borderId="19" pivotButton="0" quotePrefix="0" xfId="0"/>
    <xf numFmtId="0" fontId="14" fillId="0" borderId="18" applyAlignment="1" pivotButton="0" quotePrefix="0" xfId="0">
      <alignment vertical="center" wrapText="1"/>
    </xf>
    <xf numFmtId="0" fontId="26" fillId="0" borderId="0" applyAlignment="1" pivotButton="0" quotePrefix="0" xfId="0">
      <alignment vertical="center" wrapText="1"/>
    </xf>
    <xf numFmtId="0" fontId="21" fillId="0" borderId="8" applyAlignment="1" pivotButton="0" quotePrefix="0" xfId="0">
      <alignment horizontal="left" vertical="center" wrapText="1"/>
    </xf>
    <xf numFmtId="0" fontId="21" fillId="0" borderId="10" applyAlignment="1" pivotButton="0" quotePrefix="0" xfId="0">
      <alignment horizontal="left" vertical="center" wrapText="1"/>
    </xf>
    <xf numFmtId="0" fontId="21" fillId="0" borderId="2" applyAlignment="1" pivotButton="0" quotePrefix="0" xfId="0">
      <alignment vertical="center" wrapText="1"/>
    </xf>
    <xf numFmtId="0" fontId="21" fillId="0" borderId="3" applyAlignment="1" pivotButton="0" quotePrefix="0" xfId="0">
      <alignment vertical="center" wrapText="1"/>
    </xf>
    <xf numFmtId="0" fontId="21" fillId="0" borderId="3" applyAlignment="1" pivotButton="0" quotePrefix="0" xfId="0">
      <alignment horizontal="right" vertical="center" wrapText="1"/>
    </xf>
    <xf numFmtId="0" fontId="21" fillId="0" borderId="4" applyAlignment="1" pivotButton="0" quotePrefix="0" xfId="0">
      <alignment vertical="center" wrapText="1"/>
    </xf>
    <xf numFmtId="0" fontId="9" fillId="0" borderId="7" applyAlignment="1" pivotButton="0" quotePrefix="0" xfId="0">
      <alignment vertical="center" shrinkToFit="1"/>
    </xf>
    <xf numFmtId="0" fontId="21" fillId="0" borderId="20" applyAlignment="1" pivotButton="0" quotePrefix="0" xfId="0">
      <alignment horizontal="center" vertical="center" textRotation="255" wrapText="1"/>
    </xf>
    <xf numFmtId="0" fontId="21" fillId="0" borderId="7" applyAlignment="1" pivotButton="0" quotePrefix="0" xfId="0">
      <alignment horizontal="distributed" vertical="center" shrinkToFit="1" indent="1"/>
    </xf>
    <xf numFmtId="0" fontId="21" fillId="0" borderId="7" applyAlignment="1" pivotButton="0" quotePrefix="0" xfId="0">
      <alignment vertical="center"/>
    </xf>
    <xf numFmtId="0" fontId="21" fillId="0" borderId="7" applyAlignment="1" pivotButton="0" quotePrefix="0" xfId="0">
      <alignment vertical="center" shrinkToFit="1"/>
    </xf>
    <xf numFmtId="0" fontId="21" fillId="0" borderId="13" applyAlignment="1" pivotButton="0" quotePrefix="0" xfId="0">
      <alignment horizontal="distributed" vertical="center" wrapText="1" indent="1"/>
    </xf>
    <xf numFmtId="0" fontId="21" fillId="0" borderId="18" applyAlignment="1" pivotButton="0" quotePrefix="0" xfId="0">
      <alignment vertical="center" shrinkToFit="1"/>
    </xf>
    <xf numFmtId="0" fontId="21" fillId="0" borderId="7" applyAlignment="1" pivotButton="0" quotePrefix="0" xfId="0">
      <alignment vertical="center" textRotation="255" shrinkToFit="1"/>
    </xf>
    <xf numFmtId="0" fontId="21" fillId="0" borderId="0" applyAlignment="1" pivotButton="0" quotePrefix="0" xfId="0">
      <alignment horizontal="distributed" vertical="center" textRotation="255" wrapText="1" indent="1"/>
    </xf>
    <xf numFmtId="0" fontId="21" fillId="0" borderId="0" applyAlignment="1" pivotButton="0" quotePrefix="0" xfId="0">
      <alignment horizontal="distributed" vertical="center" wrapText="1" indent="1"/>
    </xf>
    <xf numFmtId="0" fontId="21" fillId="0" borderId="0" applyAlignment="1" pivotButton="0" quotePrefix="0" xfId="0">
      <alignment horizontal="right" vertical="center" wrapText="1" indent="1"/>
    </xf>
    <xf numFmtId="0" fontId="21" fillId="0" borderId="13" applyAlignment="1" pivotButton="0" quotePrefix="0" xfId="0">
      <alignment horizontal="center" vertical="distributed" textRotation="255" wrapText="1" indent="11"/>
    </xf>
    <xf numFmtId="0" fontId="21" fillId="0" borderId="7" applyAlignment="1" pivotButton="0" quotePrefix="0" xfId="0">
      <alignment horizontal="distributed" vertical="center"/>
    </xf>
    <xf numFmtId="0" fontId="1" fillId="0" borderId="7" applyAlignment="1" pivotButton="0" quotePrefix="0" xfId="0">
      <alignment horizontal="distributed" vertical="center" wrapText="1"/>
    </xf>
    <xf numFmtId="0" fontId="21" fillId="0" borderId="0" applyAlignment="1" pivotButton="0" quotePrefix="0" xfId="0">
      <alignment horizontal="left" vertical="center" wrapText="1"/>
    </xf>
    <xf numFmtId="0" fontId="21" fillId="0" borderId="21" applyAlignment="1" pivotButton="0" quotePrefix="0" xfId="0">
      <alignment horizontal="center" vertical="center" wrapText="1"/>
    </xf>
    <xf numFmtId="0" fontId="2" fillId="0" borderId="3" pivotButton="0" quotePrefix="0" xfId="0"/>
    <xf numFmtId="0" fontId="21" fillId="0" borderId="1" applyAlignment="1" pivotButton="0" quotePrefix="0" xfId="0">
      <alignment vertical="center" wrapText="1"/>
    </xf>
    <xf numFmtId="0" fontId="21" fillId="0" borderId="12" applyAlignment="1" pivotButton="0" quotePrefix="0" xfId="0">
      <alignment vertical="center" wrapText="1"/>
    </xf>
    <xf numFmtId="0" fontId="1" fillId="0" borderId="7" applyAlignment="1" pivotButton="0" quotePrefix="0" xfId="0">
      <alignment horizontal="left" vertical="center" wrapText="1" indent="1"/>
    </xf>
    <xf numFmtId="0" fontId="21" fillId="0" borderId="8" applyAlignment="1" pivotButton="0" quotePrefix="0" xfId="0">
      <alignment horizontal="centerContinuous" vertical="center" wrapText="1"/>
    </xf>
    <xf numFmtId="0" fontId="21" fillId="0" borderId="10" applyAlignment="1" pivotButton="0" quotePrefix="0" xfId="0">
      <alignment horizontal="centerContinuous" vertical="center" wrapText="1"/>
    </xf>
    <xf numFmtId="0" fontId="8" fillId="0" borderId="8" applyAlignment="1" pivotButton="0" quotePrefix="0" xfId="0">
      <alignment horizontal="centerContinuous" vertical="center" wrapText="1"/>
    </xf>
    <xf numFmtId="0" fontId="27" fillId="0" borderId="10" applyAlignment="1" pivotButton="0" quotePrefix="0" xfId="0">
      <alignment horizontal="centerContinuous" vertical="center" wrapText="1"/>
    </xf>
    <xf numFmtId="0" fontId="24" fillId="0" borderId="7" applyAlignment="1" pivotButton="0" quotePrefix="0" xfId="0">
      <alignment horizontal="center" vertical="center" wrapText="1"/>
    </xf>
    <xf numFmtId="0" fontId="8" fillId="0" borderId="8" applyAlignment="1" pivotButton="0" quotePrefix="0" xfId="0">
      <alignment horizontal="center" vertical="center" wrapText="1"/>
    </xf>
    <xf numFmtId="0" fontId="21" fillId="0" borderId="10" applyAlignment="1" pivotButton="0" quotePrefix="0" xfId="0">
      <alignment horizontal="center" vertical="center" wrapText="1"/>
    </xf>
    <xf numFmtId="0" fontId="28" fillId="0" borderId="7" applyAlignment="1" pivotButton="0" quotePrefix="0" xfId="0">
      <alignment horizontal="left" vertical="center" wrapText="1"/>
    </xf>
    <xf numFmtId="0" fontId="24" fillId="0" borderId="18" applyAlignment="1" pivotButton="0" quotePrefix="0" xfId="0">
      <alignment horizontal="center" vertical="center" wrapText="1"/>
    </xf>
    <xf numFmtId="0" fontId="8" fillId="0" borderId="0" applyAlignment="1" pivotButton="0" quotePrefix="0" xfId="0">
      <alignment horizontal="left" vertical="center"/>
    </xf>
    <xf numFmtId="0" fontId="21" fillId="0" borderId="0" applyAlignment="1" pivotButton="0" quotePrefix="0" xfId="0">
      <alignment vertical="center"/>
    </xf>
    <xf numFmtId="0" fontId="21" fillId="0" borderId="0" applyAlignment="1" pivotButton="0" quotePrefix="0" xfId="0">
      <alignment horizontal="right" vertical="center"/>
    </xf>
    <xf numFmtId="0" fontId="21" fillId="3" borderId="0" applyAlignment="1" pivotButton="0" quotePrefix="0" xfId="0">
      <alignment vertical="center"/>
    </xf>
    <xf numFmtId="0" fontId="8" fillId="0" borderId="7" applyAlignment="1" pivotButton="0" quotePrefix="0" xfId="0">
      <alignment horizontal="distributed" vertical="center" wrapText="1"/>
    </xf>
    <xf numFmtId="0" fontId="8" fillId="0" borderId="7" applyAlignment="1" pivotButton="0" quotePrefix="0" xfId="0">
      <alignment horizontal="distributed" vertical="distributed" textRotation="255" wrapText="1"/>
    </xf>
    <xf numFmtId="0" fontId="8" fillId="0" borderId="7" applyAlignment="1" pivotButton="0" quotePrefix="0" xfId="0">
      <alignment horizontal="distributed" vertical="center" wrapText="1" indent="3"/>
    </xf>
    <xf numFmtId="0" fontId="8" fillId="0" borderId="7" applyAlignment="1" pivotButton="0" quotePrefix="0" xfId="0">
      <alignment vertical="distributed" textRotation="255" shrinkToFit="1"/>
    </xf>
    <xf numFmtId="0" fontId="2" fillId="0" borderId="0" applyAlignment="1" pivotButton="0" quotePrefix="0" xfId="0">
      <alignment horizontal="left"/>
    </xf>
    <xf numFmtId="0" fontId="8" fillId="0" borderId="7" applyAlignment="1" pivotButton="0" quotePrefix="0" xfId="0">
      <alignment vertical="distributed" textRotation="255" wrapText="1"/>
    </xf>
    <xf numFmtId="0" fontId="8" fillId="0" borderId="7" applyAlignment="1" pivotButton="0" quotePrefix="0" xfId="0">
      <alignment vertical="center" wrapText="1"/>
    </xf>
    <xf numFmtId="0" fontId="8" fillId="0" borderId="7" applyAlignment="1" pivotButton="0" quotePrefix="0" xfId="0">
      <alignment vertical="center" textRotation="255" shrinkToFit="1"/>
    </xf>
    <xf numFmtId="0" fontId="21" fillId="0" borderId="7" applyAlignment="1" applyProtection="1" pivotButton="0" quotePrefix="0" xfId="0">
      <alignment horizontal="center" vertical="center" wrapText="1"/>
      <protection locked="0" hidden="0"/>
    </xf>
    <xf numFmtId="0" fontId="8" fillId="0" borderId="7" applyAlignment="1" applyProtection="1" pivotButton="0" quotePrefix="0" xfId="0">
      <alignment horizontal="justify" vertical="center" wrapText="1"/>
      <protection locked="0" hidden="0"/>
    </xf>
    <xf numFmtId="0" fontId="8" fillId="0" borderId="2" applyAlignment="1" pivotButton="0" quotePrefix="0" xfId="0">
      <alignment vertical="center" wrapText="1"/>
    </xf>
    <xf numFmtId="0" fontId="8" fillId="0" borderId="3" applyAlignment="1" pivotButton="0" quotePrefix="0" xfId="0">
      <alignment vertical="center" wrapText="1"/>
    </xf>
    <xf numFmtId="0" fontId="8" fillId="0" borderId="4" applyAlignment="1" pivotButton="0" quotePrefix="0" xfId="0">
      <alignment vertical="center" wrapText="1"/>
    </xf>
    <xf numFmtId="0" fontId="8" fillId="0" borderId="5" applyAlignment="1" pivotButton="0" quotePrefix="0" xfId="0">
      <alignment horizontal="justify" vertical="center" wrapText="1"/>
    </xf>
    <xf numFmtId="0" fontId="8" fillId="0" borderId="6" applyAlignment="1" pivotButton="0" quotePrefix="0" xfId="0">
      <alignment horizontal="justify" vertical="center" wrapText="1"/>
    </xf>
    <xf numFmtId="0" fontId="8" fillId="0" borderId="18" applyAlignment="1" pivotButton="0" quotePrefix="0" xfId="0">
      <alignment horizontal="justify" vertical="center" wrapText="1"/>
    </xf>
    <xf numFmtId="0" fontId="8" fillId="0" borderId="7" applyAlignment="1" applyProtection="1" pivotButton="0" quotePrefix="0" xfId="0">
      <alignment vertical="distributed" textRotation="255" wrapText="1"/>
      <protection locked="0" hidden="0"/>
    </xf>
    <xf numFmtId="172" fontId="21" fillId="0" borderId="7" applyAlignment="1" applyProtection="1" pivotButton="0" quotePrefix="0" xfId="0">
      <alignment horizontal="justify" vertical="center" wrapText="1"/>
      <protection locked="0" hidden="0"/>
    </xf>
    <xf numFmtId="0" fontId="8" fillId="0" borderId="7" applyAlignment="1" applyProtection="1" pivotButton="0" quotePrefix="0" xfId="0">
      <alignment horizontal="distributed" vertical="distributed" textRotation="255" wrapText="1"/>
      <protection locked="0" hidden="0"/>
    </xf>
    <xf numFmtId="0" fontId="8" fillId="0" borderId="7" applyAlignment="1" applyProtection="1" pivotButton="0" quotePrefix="0" xfId="0">
      <alignment vertical="distributed" textRotation="255" shrinkToFit="1"/>
      <protection locked="0" hidden="0"/>
    </xf>
    <xf numFmtId="0" fontId="8" fillId="0" borderId="7" applyAlignment="1" applyProtection="1" pivotButton="0" quotePrefix="0" xfId="0">
      <alignment vertical="center" textRotation="255" shrinkToFit="1"/>
      <protection locked="0" hidden="0"/>
    </xf>
    <xf numFmtId="0" fontId="8" fillId="0" borderId="7" applyAlignment="1" applyProtection="1" pivotButton="0" quotePrefix="0" xfId="0">
      <alignment horizontal="distributed" vertical="center" wrapText="1"/>
      <protection locked="0" hidden="0"/>
    </xf>
    <xf numFmtId="0" fontId="0" fillId="0"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theme="9"/>
    <outlinePr summaryBelow="1" summaryRight="1"/>
    <pageSetUpPr/>
  </sheetPr>
  <dimension ref="A1:AM48"/>
  <sheetViews>
    <sheetView workbookViewId="0">
      <selection activeCell="A1" sqref="A1"/>
    </sheetView>
  </sheetViews>
  <sheetFormatPr baseColWidth="8" defaultRowHeight="15"/>
  <cols>
    <col width="1.69921875" customWidth="1" min="1" max="1"/>
    <col width="3.3984375" customWidth="1" min="2" max="2"/>
    <col width="1.69921875" customWidth="1" min="4" max="4"/>
    <col width="6.19921875" customWidth="1" min="6" max="6"/>
    <col width="1.69921875" customWidth="1" min="8" max="8"/>
    <col width="3.09765625" customWidth="1" min="9" max="9"/>
    <col width="6.19921875" customWidth="1" min="10" max="10"/>
    <col width="4.69921875" customWidth="1" min="11" max="11"/>
    <col width="6.19921875" customWidth="1" min="13" max="13"/>
    <col width="4.69921875" customWidth="1" min="15" max="15"/>
    <col width="9.69921875" customWidth="1" min="17" max="17"/>
    <col width="1.69921875" customWidth="1" min="18" max="18"/>
    <col width="6.19921875" customWidth="1" min="19" max="19"/>
    <col width="10.3984375" customWidth="1" min="20" max="20"/>
    <col width="12.09765625" customWidth="1" min="21" max="21"/>
    <col width="6.19921875" customWidth="1" min="22" max="22"/>
    <col width="6.69921875" customWidth="1" min="30" max="30"/>
    <col width="12" customWidth="1" min="31" max="31"/>
    <col width="3.69921875" customWidth="1" min="32" max="32"/>
    <col width="12.8984375" customWidth="1" min="33" max="33"/>
    <col width="13.3984375" customWidth="1" min="34" max="34"/>
    <col width="6.19921875" customWidth="1" min="35" max="35"/>
  </cols>
  <sheetData>
    <row r="1" ht="18" customHeight="1">
      <c r="A1" s="1" t="n"/>
      <c r="B1" s="1" t="inlineStr">
        <is>
          <t>別記様式第１号の７（第33条の18関係）</t>
        </is>
      </c>
      <c r="C1" s="1" t="n"/>
      <c r="D1" s="1" t="n"/>
      <c r="E1" s="1" t="n"/>
      <c r="F1" s="1" t="n"/>
      <c r="G1" s="1" t="n"/>
      <c r="H1" s="1" t="n"/>
      <c r="I1" s="1" t="n"/>
      <c r="J1" s="1" t="n"/>
      <c r="K1" s="1" t="n"/>
      <c r="L1" s="1" t="n"/>
      <c r="M1" s="1" t="n"/>
      <c r="N1" s="1" t="n"/>
      <c r="O1" s="1" t="n"/>
      <c r="P1" s="1" t="n"/>
      <c r="Q1" s="1" t="n"/>
      <c r="R1" s="1" t="n"/>
      <c r="AD1" s="2" t="inlineStr">
        <is>
          <t>住戸用自動火災報知設備及び共同住宅用非常警報設備</t>
        </is>
      </c>
    </row>
    <row r="2" ht="21" customHeight="1">
      <c r="A2" s="3" t="inlineStr">
        <is>
          <t>工事整備対象設備等着工届出書</t>
        </is>
      </c>
      <c r="R2" s="4" t="n"/>
      <c r="AD2" s="2" t="inlineStr">
        <is>
          <t>住戸用自動火災報知設備</t>
        </is>
      </c>
    </row>
    <row r="3" ht="3" customHeight="1">
      <c r="A3" s="5" t="n"/>
      <c r="B3" s="6" t="n"/>
      <c r="R3" s="7" t="n"/>
      <c r="AD3" s="2" t="inlineStr">
        <is>
          <t>自動火災報知設備</t>
        </is>
      </c>
    </row>
    <row r="4" ht="18" customHeight="1">
      <c r="A4" s="8" t="n"/>
      <c r="B4" s="9" t="inlineStr">
        <is>
          <t>令和     年     月     日</t>
        </is>
      </c>
      <c r="R4" s="10" t="n"/>
      <c r="AD4" s="11" t="inlineStr">
        <is>
          <t>共同住宅用自動火災報知設備</t>
        </is>
      </c>
    </row>
    <row r="5" ht="18" customHeight="1">
      <c r="A5" s="8" t="n"/>
      <c r="B5" s="12">
        <f>表紙!U5</f>
        <v/>
      </c>
      <c r="R5" s="13" t="n"/>
      <c r="T5" t="inlineStr">
        <is>
          <t>担当消防署</t>
        </is>
      </c>
      <c r="U5" s="14" t="inlineStr">
        <is>
          <t>浜松市消防署長　殿</t>
        </is>
      </c>
      <c r="AM5" s="15" t="inlineStr">
        <is>
          <t>※受講期限（講習区分ごと）</t>
        </is>
      </c>
    </row>
    <row r="6" ht="9" customHeight="1">
      <c r="A6" s="8" t="n"/>
      <c r="B6" s="1" t="n"/>
      <c r="C6" s="1" t="n"/>
      <c r="D6" s="1" t="n"/>
      <c r="E6" s="1" t="n"/>
      <c r="F6" s="1" t="n"/>
      <c r="G6" s="1" t="n"/>
      <c r="H6" s="1" t="n"/>
      <c r="I6" s="1" t="n"/>
      <c r="J6" s="1" t="n"/>
      <c r="K6" s="1" t="n"/>
      <c r="L6" s="1" t="n"/>
      <c r="M6" s="1" t="n"/>
      <c r="N6" s="1" t="n"/>
      <c r="O6" s="1" t="n"/>
      <c r="P6" s="1" t="n"/>
      <c r="Q6" s="1" t="n"/>
      <c r="R6" s="13" t="n"/>
    </row>
    <row r="7" ht="18" customHeight="1">
      <c r="A7" s="8" t="n"/>
      <c r="B7" s="1" t="n"/>
      <c r="C7" s="1" t="n"/>
      <c r="D7" s="1" t="n"/>
      <c r="E7" s="1" t="n"/>
      <c r="F7" s="1" t="n"/>
      <c r="G7" s="1" t="n"/>
      <c r="H7" s="1" t="n"/>
      <c r="I7" s="1" t="n"/>
      <c r="J7" s="16" t="inlineStr">
        <is>
          <t>届 出 者</t>
        </is>
      </c>
      <c r="L7" s="1" t="n"/>
      <c r="M7" s="1" t="n"/>
      <c r="N7" s="1" t="n"/>
      <c r="O7" s="1" t="n"/>
      <c r="P7" s="1" t="n"/>
      <c r="Q7" s="1" t="n"/>
      <c r="R7" s="13" t="n"/>
      <c r="AC7" s="17" t="inlineStr">
        <is>
          <t>担当者</t>
        </is>
      </c>
      <c r="AD7" s="17" t="inlineStr">
        <is>
          <t>住所</t>
        </is>
      </c>
      <c r="AE7" s="17" t="inlineStr">
        <is>
          <t>交付年月日</t>
        </is>
      </c>
      <c r="AF7" s="18" t="inlineStr">
        <is>
          <t>交付番号</t>
        </is>
      </c>
      <c r="AG7" s="18" t="inlineStr">
        <is>
          <t>講習日</t>
        </is>
      </c>
      <c r="AH7" s="19" t="inlineStr">
        <is>
          <t>講習期限</t>
        </is>
      </c>
      <c r="AI7" s="18" t="n"/>
      <c r="AJ7" s="18" t="inlineStr">
        <is>
          <t>受講地</t>
        </is>
      </c>
      <c r="AK7" s="18" t="inlineStr">
        <is>
          <t>交付</t>
        </is>
      </c>
      <c r="AM7" s="15" t="inlineStr">
        <is>
          <t>(1)　消防設備士免状の交付を受けた日以降における最初の4月1日から2年以内</t>
        </is>
      </c>
    </row>
    <row r="8" ht="18" customHeight="1">
      <c r="A8" s="8" t="n"/>
      <c r="B8" s="1" t="n"/>
      <c r="C8" s="1" t="n"/>
      <c r="D8" s="1" t="n"/>
      <c r="E8" s="1" t="n"/>
      <c r="F8" s="1" t="n"/>
      <c r="G8" s="1" t="n"/>
      <c r="H8" s="1" t="n"/>
      <c r="I8" s="1" t="n"/>
      <c r="J8" s="1" t="n"/>
      <c r="K8" s="20" t="inlineStr">
        <is>
          <t>住 所</t>
        </is>
      </c>
      <c r="L8" s="20">
        <f>VLOOKUP($U$8,$AC$8:$AK$11,2,FALSE)</f>
        <v/>
      </c>
      <c r="M8" s="20" t="n"/>
      <c r="N8" s="20" t="n"/>
      <c r="O8" s="20" t="n"/>
      <c r="P8" s="20" t="n"/>
      <c r="Q8" s="20" t="n"/>
      <c r="R8" s="13" t="n"/>
      <c r="T8" s="15" t="inlineStr">
        <is>
          <t>届出者</t>
        </is>
      </c>
      <c r="U8" s="21" t="inlineStr">
        <is>
          <t xml:space="preserve">　戸田　健仁</t>
        </is>
      </c>
      <c r="AC8" s="18" t="inlineStr">
        <is>
          <t xml:space="preserve">　河合　佑樹</t>
        </is>
      </c>
      <c r="AD8" s="18" t="inlineStr">
        <is>
          <t xml:space="preserve">  愛知県尾張旭市晴丘町東236番地4</t>
        </is>
      </c>
      <c r="AE8" s="17" t="inlineStr">
        <is>
          <t>R5年7月21日</t>
        </is>
      </c>
      <c r="AF8" s="18" t="inlineStr">
        <is>
          <t>第00324号</t>
        </is>
      </c>
      <c r="AG8" s="22" t="inlineStr">
        <is>
          <t>令和7年11月</t>
        </is>
      </c>
      <c r="AH8" s="19" t="n"/>
      <c r="AI8" s="18" t="inlineStr">
        <is>
          <t>　</t>
        </is>
      </c>
      <c r="AJ8" s="18" t="inlineStr">
        <is>
          <t>愛知</t>
        </is>
      </c>
      <c r="AK8" s="18" t="inlineStr">
        <is>
          <t>愛知</t>
        </is>
      </c>
      <c r="AM8" s="15" t="inlineStr">
        <is>
          <t>(2)　消防設備士講習を受けた日以降における最初の4月1日から5年以内</t>
        </is>
      </c>
    </row>
    <row r="9" ht="18" customHeight="1">
      <c r="A9" s="8" t="n"/>
      <c r="B9" s="1" t="n"/>
      <c r="C9" s="1" t="n"/>
      <c r="D9" s="1" t="n"/>
      <c r="E9" s="1" t="n"/>
      <c r="F9" s="1" t="n"/>
      <c r="G9" s="1" t="n"/>
      <c r="H9" s="1" t="n"/>
      <c r="I9" s="1" t="n"/>
      <c r="J9" s="1" t="n"/>
      <c r="K9" s="23" t="inlineStr">
        <is>
          <t>氏 名</t>
        </is>
      </c>
      <c r="L9" s="23">
        <f>VLOOKUP($U$8,$AC$8:$AK$11,1,FALSE)</f>
        <v/>
      </c>
      <c r="M9" s="23" t="n"/>
      <c r="N9" s="23" t="n"/>
      <c r="O9" s="23" t="n"/>
      <c r="P9" s="23" t="n"/>
      <c r="Q9" s="23" t="n"/>
      <c r="R9" s="13" t="n"/>
      <c r="AC9" s="18" t="n"/>
      <c r="AD9" s="18" t="n"/>
      <c r="AE9" s="17" t="n"/>
      <c r="AF9" s="18" t="n"/>
      <c r="AG9" s="18" t="n"/>
      <c r="AH9" s="19" t="n"/>
      <c r="AI9" s="18" t="n"/>
      <c r="AJ9" s="18" t="n"/>
      <c r="AK9" s="18" t="n"/>
      <c r="AM9" s="15" t="inlineStr">
        <is>
          <t>※期限内に受講していない方は、免状の返納命令に基づく違反点数の措置対象になります。</t>
        </is>
      </c>
    </row>
    <row r="10" ht="9" customHeight="1">
      <c r="A10" s="8" t="n"/>
      <c r="B10" s="1" t="n"/>
      <c r="C10" s="1" t="n"/>
      <c r="D10" s="1" t="n"/>
      <c r="E10" s="1" t="n"/>
      <c r="F10" s="1" t="n"/>
      <c r="G10" s="1" t="n"/>
      <c r="H10" s="1" t="n"/>
      <c r="I10" s="1" t="n"/>
      <c r="J10" s="1" t="n"/>
      <c r="K10" s="1" t="n"/>
      <c r="L10" s="1" t="n"/>
      <c r="M10" s="1" t="n"/>
      <c r="N10" s="1" t="n"/>
      <c r="O10" s="1" t="n"/>
      <c r="P10" s="1" t="n"/>
      <c r="Q10" s="1" t="n"/>
      <c r="R10" s="13" t="n"/>
      <c r="AC10" s="18" t="inlineStr">
        <is>
          <t xml:space="preserve">　戸田　健仁</t>
        </is>
      </c>
      <c r="AD10" s="18" t="inlineStr">
        <is>
          <t xml:space="preserve">　愛知県長久手市西原山1-1 ｾﾝﾄｱｰｽ502</t>
        </is>
      </c>
      <c r="AE10" s="17" t="inlineStr">
        <is>
          <t>R5年11月7日</t>
        </is>
      </c>
      <c r="AF10" s="18" t="inlineStr">
        <is>
          <t>第00448号</t>
        </is>
      </c>
      <c r="AG10" s="22" t="inlineStr">
        <is>
          <t>令和7年11月</t>
        </is>
      </c>
      <c r="AH10" s="19" t="n"/>
      <c r="AI10" s="18" t="inlineStr">
        <is>
          <t>　</t>
        </is>
      </c>
      <c r="AJ10" s="18" t="inlineStr">
        <is>
          <t>愛知</t>
        </is>
      </c>
      <c r="AK10" s="18" t="inlineStr">
        <is>
          <t>愛知</t>
        </is>
      </c>
    </row>
    <row r="11" ht="34.95" customHeight="1">
      <c r="A11" s="24" t="n"/>
      <c r="B11" s="25" t="inlineStr">
        <is>
          <t>工事の場所</t>
        </is>
      </c>
      <c r="H11" s="26" t="n"/>
      <c r="I11" s="24" t="n"/>
      <c r="J11" s="27">
        <f>表紙!U11</f>
        <v/>
      </c>
      <c r="R11" s="26" t="n"/>
      <c r="T11" s="28" t="inlineStr">
        <is>
          <t>住所</t>
        </is>
      </c>
      <c r="U11" s="29" t="inlineStr">
        <is>
          <t>静岡県浜松市中央区板屋町547</t>
        </is>
      </c>
      <c r="AC11" s="18" t="inlineStr">
        <is>
          <t xml:space="preserve">　棚町　征</t>
        </is>
      </c>
      <c r="AD11" s="18" t="inlineStr">
        <is>
          <t xml:space="preserve">　岐阜県土岐市泉町大富195番地の249</t>
        </is>
      </c>
      <c r="AE11" s="17" t="inlineStr">
        <is>
          <t>H14年10月30日</t>
        </is>
      </c>
      <c r="AF11" s="18" t="inlineStr">
        <is>
          <t>第00009号</t>
        </is>
      </c>
      <c r="AG11" s="18" t="inlineStr">
        <is>
          <t>令和元年10月</t>
        </is>
      </c>
      <c r="AH11" s="19" t="n"/>
      <c r="AI11" s="18" t="n"/>
      <c r="AJ11" s="18" t="inlineStr">
        <is>
          <t>愛知</t>
        </is>
      </c>
      <c r="AK11" s="18" t="inlineStr">
        <is>
          <t>愛知</t>
        </is>
      </c>
    </row>
    <row r="12" ht="34.95" customHeight="1">
      <c r="A12" s="24" t="n"/>
      <c r="B12" s="25" t="inlineStr">
        <is>
          <t>工事を行う防火対象物の名称</t>
        </is>
      </c>
      <c r="H12" s="26" t="n"/>
      <c r="I12" s="5" t="n"/>
      <c r="J12" s="27">
        <f>表紙!U12</f>
        <v/>
      </c>
      <c r="R12" s="30" t="n"/>
      <c r="T12" s="28" t="inlineStr">
        <is>
          <t>名称</t>
        </is>
      </c>
      <c r="U12" s="31" t="inlineStr">
        <is>
          <t>セラン</t>
        </is>
      </c>
      <c r="AC12" s="15" t="n"/>
      <c r="AD12" s="15" t="n"/>
      <c r="AF12" s="15" t="n"/>
      <c r="AG12" s="15" t="n"/>
      <c r="AH12" s="32" t="n"/>
      <c r="AI12" s="15" t="n"/>
      <c r="AJ12" s="15" t="n"/>
      <c r="AK12" s="15" t="n"/>
    </row>
    <row r="13" ht="34.95" customHeight="1">
      <c r="A13" s="24" t="n"/>
      <c r="B13" s="25" t="inlineStr">
        <is>
          <t>工事整備対象設備等の種類</t>
        </is>
      </c>
      <c r="H13" s="33" t="n"/>
      <c r="I13" s="24" t="n"/>
      <c r="J13" s="27">
        <f>U13</f>
        <v/>
      </c>
      <c r="R13" s="26" t="n"/>
      <c r="T13" s="1" t="inlineStr">
        <is>
          <t>種類</t>
        </is>
      </c>
      <c r="U13" s="34" t="inlineStr">
        <is>
          <t>共同住宅用自動火災報知設備</t>
        </is>
      </c>
      <c r="AD13" s="15" t="n"/>
      <c r="AH13" s="35" t="n"/>
    </row>
    <row r="14" ht="28.05" customHeight="1">
      <c r="A14" s="36" t="inlineStr">
        <is>
          <t>
</t>
        </is>
      </c>
      <c r="B14" s="37" t="inlineStr">
        <is>
          <t xml:space="preserve"> 工事整備対象設備</t>
        </is>
      </c>
      <c r="C14" s="38" t="inlineStr">
        <is>
          <t xml:space="preserve"> 等の工事施工者</t>
        </is>
      </c>
      <c r="D14" s="39" t="n"/>
      <c r="E14" s="40" t="n"/>
      <c r="F14" s="25" t="inlineStr">
        <is>
          <t>住所</t>
        </is>
      </c>
      <c r="H14" s="41" t="n"/>
      <c r="J14" s="42" t="inlineStr">
        <is>
          <t>名古屋市中区栄４丁目１６番３号　山光堂ビル５階</t>
        </is>
      </c>
      <c r="R14" s="13" t="n"/>
      <c r="AH14" s="1" t="n"/>
    </row>
    <row r="15" ht="28.05" customHeight="1">
      <c r="A15" s="43" t="n"/>
      <c r="E15" s="44" t="n"/>
      <c r="H15" s="45" t="n"/>
      <c r="M15" s="46" t="inlineStr">
        <is>
          <t>電話番号　０５２－２６９－９１００</t>
        </is>
      </c>
      <c r="R15" s="13" t="n"/>
      <c r="T15" s="28" t="inlineStr">
        <is>
          <t>着工日</t>
        </is>
      </c>
      <c r="U15" s="47" t="n">
        <v>46086</v>
      </c>
      <c r="AA15" s="48">
        <f>TEXT(U15,"ggg" )</f>
        <v/>
      </c>
      <c r="AB15" s="48">
        <f>TEXT(U15,"e年" )</f>
        <v/>
      </c>
      <c r="AC15" s="48">
        <f>TEXT(U15,"m月" )</f>
        <v/>
      </c>
      <c r="AD15" s="48">
        <f>TEXT(U15,"ｄ日" )</f>
        <v/>
      </c>
    </row>
    <row r="16" ht="28.05" customHeight="1">
      <c r="A16" s="43" t="n"/>
      <c r="E16" s="40" t="n"/>
      <c r="F16" s="49" t="inlineStr">
        <is>
          <t>氏名
法人の場合は名称
及び代表者氏名</t>
        </is>
      </c>
      <c r="H16" s="50" t="n"/>
      <c r="I16" s="5" t="n"/>
      <c r="J16" s="51" t="inlineStr">
        <is>
          <t>株式会社　TSCアクセス・プロ</t>
        </is>
      </c>
      <c r="K16" s="52" t="n"/>
      <c r="L16" s="52" t="n"/>
      <c r="M16" s="52" t="n"/>
      <c r="N16" s="52" t="n"/>
      <c r="O16" s="52" t="n"/>
      <c r="P16" s="52" t="n"/>
      <c r="Q16" s="52" t="n"/>
      <c r="R16" s="53" t="n"/>
      <c r="T16" s="28" t="inlineStr">
        <is>
          <t>完了日</t>
        </is>
      </c>
      <c r="U16" s="47" t="n">
        <v>46093</v>
      </c>
      <c r="AA16" s="48">
        <f>TEXT(U16,"ggg" )</f>
        <v/>
      </c>
      <c r="AB16" s="48">
        <f>TEXT(U16,"e年" )</f>
        <v/>
      </c>
      <c r="AC16" s="48">
        <f>TEXT(U16,"m月" )</f>
        <v/>
      </c>
      <c r="AD16" s="48">
        <f>TEXT(U16,"ｄ日" )</f>
        <v/>
      </c>
    </row>
    <row r="17" ht="28.05" customHeight="1">
      <c r="A17" s="54" t="n"/>
      <c r="E17" s="44" t="n"/>
      <c r="H17" s="55" t="n"/>
      <c r="I17" s="56" t="n"/>
      <c r="J17" s="23" t="n"/>
      <c r="K17" s="23" t="n"/>
      <c r="L17" s="23" t="n"/>
      <c r="M17" s="57" t="inlineStr">
        <is>
          <t>代表取締役　　中村　勇</t>
        </is>
      </c>
      <c r="N17" s="23" t="n"/>
      <c r="O17" s="23" t="n"/>
      <c r="P17" s="23" t="n"/>
      <c r="Q17" s="23" t="n"/>
      <c r="R17" s="58" t="n"/>
    </row>
    <row r="18" ht="18" customHeight="1">
      <c r="A18" s="59" t="inlineStr">
        <is>
          <t>消防設備士</t>
        </is>
      </c>
      <c r="E18" s="60" t="n"/>
      <c r="F18" s="61" t="inlineStr">
        <is>
          <t xml:space="preserve">免状の
種類及び指定区分　</t>
        </is>
      </c>
      <c r="H18" s="41" t="n"/>
      <c r="I18" s="62" t="inlineStr">
        <is>
          <t>種類等</t>
        </is>
      </c>
      <c r="K18" s="62" t="inlineStr">
        <is>
          <t>交付知事</t>
        </is>
      </c>
      <c r="M18" s="62" t="inlineStr">
        <is>
          <t>交付年月日</t>
        </is>
      </c>
      <c r="O18" s="62" t="inlineStr">
        <is>
          <t>講習受講状況</t>
        </is>
      </c>
    </row>
    <row r="19" ht="18" customHeight="1">
      <c r="E19" s="63" t="n"/>
      <c r="H19" s="64" t="n"/>
      <c r="M19" s="62" t="inlineStr">
        <is>
          <t>交付番号</t>
        </is>
      </c>
      <c r="O19" s="62" t="inlineStr">
        <is>
          <t>受講地</t>
        </is>
      </c>
      <c r="Q19" s="62" t="inlineStr">
        <is>
          <t>講習年月</t>
        </is>
      </c>
    </row>
    <row r="20" ht="18" customHeight="1">
      <c r="E20" s="63" t="n"/>
      <c r="H20" s="64" t="n"/>
      <c r="I20" s="65" t="inlineStr">
        <is>
          <t>甲・乙</t>
        </is>
      </c>
      <c r="J20" s="30" t="inlineStr">
        <is>
          <t>種４類</t>
        </is>
      </c>
      <c r="K20" s="8" t="n"/>
      <c r="L20" s="66" t="inlineStr">
        <is>
          <t>都道</t>
        </is>
      </c>
      <c r="M20" s="62">
        <f>VLOOKUP($U$8,$AC$8:$AK$11,3,FALSE)</f>
        <v/>
      </c>
      <c r="P20" s="67" t="inlineStr">
        <is>
          <t>都道</t>
        </is>
      </c>
      <c r="Q20" s="62">
        <f>VLOOKUP($U$8,$AC$8:$AK$11,5,FALSE)</f>
        <v/>
      </c>
    </row>
    <row r="21" ht="18" customHeight="1">
      <c r="E21" s="63" t="n"/>
      <c r="H21" s="64" t="n"/>
      <c r="K21" s="68">
        <f>VLOOKUP($U$8,$AC$8:$AK$11,9,FALSE)</f>
        <v/>
      </c>
      <c r="L21" s="66" t="inlineStr">
        <is>
          <t>府県</t>
        </is>
      </c>
      <c r="M21" s="62">
        <f>VLOOKUP($U$8,$AC$8:$AK$11,4,FALSE)</f>
        <v/>
      </c>
      <c r="O21" s="4">
        <f>VLOOKUP($U$8,$AC$8:$AK$11,8,FALSE)</f>
        <v/>
      </c>
      <c r="P21" s="67" t="inlineStr">
        <is>
          <t>府県</t>
        </is>
      </c>
    </row>
    <row r="22" ht="18" customHeight="1">
      <c r="A22" s="5" t="n"/>
      <c r="B22" s="25" t="inlineStr">
        <is>
          <t>工事の種別</t>
        </is>
      </c>
      <c r="H22" s="69" t="n"/>
      <c r="I22" s="5" t="n"/>
      <c r="J22" s="52" t="inlineStr">
        <is>
          <t>１　施設　　２　増設　　３　移設　　４　取替え</t>
        </is>
      </c>
      <c r="K22" s="52" t="n"/>
      <c r="L22" s="52" t="n"/>
      <c r="M22" s="52" t="n"/>
      <c r="N22" s="52" t="n"/>
      <c r="O22" s="52" t="n"/>
      <c r="P22" s="52" t="n"/>
      <c r="Q22" s="52" t="n"/>
      <c r="R22" s="53" t="n"/>
    </row>
    <row r="23" ht="18" customHeight="1">
      <c r="A23" s="56" t="n"/>
      <c r="H23" s="70" t="n"/>
      <c r="I23" s="56" t="n"/>
      <c r="J23" s="23" t="inlineStr">
        <is>
          <t>５　改造　　６　その他</t>
        </is>
      </c>
      <c r="K23" s="23" t="n"/>
      <c r="L23" s="23" t="n"/>
      <c r="M23" s="23" t="n"/>
      <c r="N23" s="23" t="n"/>
      <c r="O23" s="23" t="n"/>
      <c r="P23" s="23" t="n"/>
      <c r="Q23" s="23" t="n"/>
      <c r="R23" s="58" t="n"/>
    </row>
    <row r="24" ht="34.95" customHeight="1">
      <c r="A24" s="5" t="n"/>
      <c r="B24" s="71" t="inlineStr">
        <is>
          <t>着工予定日</t>
        </is>
      </c>
      <c r="H24" s="33" t="n"/>
      <c r="I24" s="62">
        <f>表紙!U15</f>
        <v/>
      </c>
      <c r="M24" s="72" t="inlineStr">
        <is>
          <t>完 成 予 定 日</t>
        </is>
      </c>
      <c r="O24" s="62">
        <f>表紙!U16</f>
        <v/>
      </c>
      <c r="R24" s="26" t="n"/>
    </row>
    <row r="25" ht="18" customHeight="1">
      <c r="A25" s="62" t="inlineStr">
        <is>
          <t>※ 受　付　欄</t>
        </is>
      </c>
      <c r="K25" s="73" t="inlineStr">
        <is>
          <t>※ 経　過　欄</t>
        </is>
      </c>
      <c r="R25" s="26" t="n"/>
    </row>
    <row r="26" ht="18" customHeight="1">
      <c r="A26" s="8" t="n"/>
      <c r="B26" s="70" t="n"/>
      <c r="K26" s="73" t="n"/>
      <c r="R26" s="33" t="n"/>
    </row>
    <row r="27" ht="18" customHeight="1">
      <c r="A27" s="8" t="n"/>
      <c r="R27" s="30" t="n"/>
    </row>
    <row r="28" ht="18" customHeight="1">
      <c r="A28" s="8" t="n"/>
      <c r="R28" s="30" t="n"/>
    </row>
    <row r="29" ht="18" customHeight="1">
      <c r="A29" s="8" t="n"/>
      <c r="R29" s="30" t="n"/>
    </row>
    <row r="30" ht="18" customHeight="1">
      <c r="A30" s="8" t="n"/>
      <c r="R30" s="30" t="n"/>
    </row>
    <row r="31" ht="18" customHeight="1">
      <c r="A31" s="56" t="n"/>
      <c r="R31" s="74" t="n"/>
    </row>
    <row r="32" ht="18" customHeight="1">
      <c r="B32" s="1" t="inlineStr">
        <is>
          <t>備考</t>
        </is>
      </c>
      <c r="D32" s="1" t="inlineStr">
        <is>
          <t>１ この用紙の大きさは、日本産業規格A４とすること。</t>
        </is>
      </c>
    </row>
    <row r="33" ht="18" customHeight="1">
      <c r="D33" s="1" t="inlineStr">
        <is>
          <t>２ 工事の種別の欄は、該当する事項を○印で囲むこと。</t>
        </is>
      </c>
    </row>
    <row r="34" ht="18" customHeight="1">
      <c r="D34" s="1" t="inlineStr">
        <is>
          <t>３ ※印の欄には、記入しないこと。</t>
        </is>
      </c>
    </row>
    <row r="35" ht="18" customHeight="1"/>
    <row r="36" ht="18" customHeight="1"/>
    <row r="37" ht="18" customHeight="1"/>
    <row r="38" ht="18" customHeight="1"/>
    <row r="39" ht="18" customHeight="1"/>
    <row r="40" ht="18" customHeight="1"/>
    <row r="41" ht="18" customHeight="1"/>
    <row r="42" ht="18" customHeight="1"/>
    <row r="43" ht="18" customHeight="1"/>
    <row r="44" ht="18" customHeight="1"/>
    <row r="45" ht="18" customHeight="1"/>
    <row r="46" ht="18" customHeight="1"/>
    <row r="47" ht="18" customHeight="1">
      <c r="AC47" s="1" t="n"/>
      <c r="AD47" s="1" t="n"/>
      <c r="AE47" s="1" t="n"/>
      <c r="AF47" s="1" t="n"/>
      <c r="AG47" s="1" t="n"/>
      <c r="AH47" s="1" t="n"/>
      <c r="AI47" s="1" t="n"/>
      <c r="AJ47" s="1" t="n"/>
      <c r="AK47" s="1" t="n"/>
    </row>
    <row r="48" ht="18" customHeight="1">
      <c r="AC48" s="1" t="n"/>
      <c r="AD48" s="1" t="n"/>
      <c r="AE48" s="1" t="n"/>
      <c r="AF48" s="1" t="n"/>
      <c r="AG48" s="1" t="n"/>
      <c r="AH48" s="1" t="n"/>
      <c r="AI48" s="1" t="n"/>
      <c r="AJ48" s="1" t="n"/>
      <c r="AK48" s="1" t="n"/>
    </row>
  </sheetData>
  <mergeCells count="45">
    <mergeCell ref="C14:C17"/>
    <mergeCell ref="O19:P19"/>
    <mergeCell ref="U15:Y15"/>
    <mergeCell ref="B13:G13"/>
    <mergeCell ref="B22:G23"/>
    <mergeCell ref="J13:Q13"/>
    <mergeCell ref="U13:Z13"/>
    <mergeCell ref="B5:Q5"/>
    <mergeCell ref="B14:B17"/>
    <mergeCell ref="M20:N20"/>
    <mergeCell ref="K26:Q31"/>
    <mergeCell ref="U11:Y11"/>
    <mergeCell ref="B26:J31"/>
    <mergeCell ref="B4:Q4"/>
    <mergeCell ref="J20:J21"/>
    <mergeCell ref="K25:Q25"/>
    <mergeCell ref="U16:Y16"/>
    <mergeCell ref="Q19:R19"/>
    <mergeCell ref="F14:G15"/>
    <mergeCell ref="O18:R18"/>
    <mergeCell ref="B3:Q3"/>
    <mergeCell ref="B24:G24"/>
    <mergeCell ref="A18:D21"/>
    <mergeCell ref="M21:N21"/>
    <mergeCell ref="U12:Y12"/>
    <mergeCell ref="F16:G17"/>
    <mergeCell ref="J11:Q11"/>
    <mergeCell ref="J7:K7"/>
    <mergeCell ref="K18:L19"/>
    <mergeCell ref="I20:I21"/>
    <mergeCell ref="A2:Q2"/>
    <mergeCell ref="M18:N18"/>
    <mergeCell ref="A25:J25"/>
    <mergeCell ref="D14:D17"/>
    <mergeCell ref="M24:N24"/>
    <mergeCell ref="J12:Q12"/>
    <mergeCell ref="O24:Q24"/>
    <mergeCell ref="Q20:R21"/>
    <mergeCell ref="U5:Y5"/>
    <mergeCell ref="M19:N19"/>
    <mergeCell ref="B12:G12"/>
    <mergeCell ref="I24:L24"/>
    <mergeCell ref="F18:G21"/>
    <mergeCell ref="B11:G11"/>
    <mergeCell ref="I18:J19"/>
  </mergeCells>
  <dataValidations count="2">
    <dataValidation sqref="U8" showDropDown="0" showInputMessage="1" showErrorMessage="1" allowBlank="1" type="list">
      <formula1>$AC$8:$AC$11</formula1>
    </dataValidation>
    <dataValidation sqref="U13:Z13" showDropDown="0" showInputMessage="1" showErrorMessage="1" allowBlank="1" type="list">
      <formula1>$AD$1:$AD$5</formula1>
    </dataValidation>
  </dataValidations>
  <pageMargins left="0.7086614173228347" right="0.7086614173228347" top="0.5511811023622047" bottom="0.1574803149606299" header="0.3149606299212598" footer="0.1181102362204725"/>
  <pageSetup orientation="portrait" paperSize="9"/>
</worksheet>
</file>

<file path=xl/worksheets/sheet2.xml><?xml version="1.0" encoding="utf-8"?>
<worksheet xmlns="http://schemas.openxmlformats.org/spreadsheetml/2006/main">
  <sheetPr>
    <tabColor theme="9"/>
    <outlinePr summaryBelow="1" summaryRight="1"/>
    <pageSetUpPr/>
  </sheetPr>
  <dimension ref="A1:AE32"/>
  <sheetViews>
    <sheetView workbookViewId="0">
      <selection activeCell="A1" sqref="A1"/>
    </sheetView>
  </sheetViews>
  <sheetFormatPr baseColWidth="8" defaultRowHeight="15"/>
  <cols>
    <col width="6.69921875" customWidth="1" min="1" max="1"/>
    <col width="3.69921875" customWidth="1" min="8" max="8"/>
    <col width="6.69921875" customWidth="1" min="9" max="9"/>
    <col width="3.19921875" customWidth="1" min="10" max="10"/>
    <col width="6.69921875" customWidth="1" min="11" max="11"/>
    <col width="6.5" customWidth="1" min="12" max="12"/>
    <col width="6.69921875" customWidth="1" min="13" max="13"/>
    <col width="10.796875" customWidth="1" min="15" max="15"/>
    <col width="16.296875" customWidth="1" min="16" max="16"/>
    <col width="4.69921875" customWidth="1" min="17" max="17"/>
    <col width="6.69921875" customWidth="1" min="25" max="25"/>
  </cols>
  <sheetData>
    <row r="1" ht="19.95" customHeight="1">
      <c r="A1" s="75" t="inlineStr">
        <is>
          <t>別記様式１</t>
        </is>
      </c>
    </row>
    <row r="2" ht="19.95" customHeight="1">
      <c r="E2" s="15" t="inlineStr">
        <is>
          <t>防火対象物</t>
        </is>
      </c>
      <c r="F2" s="15" t="n"/>
      <c r="G2" s="76" t="inlineStr">
        <is>
          <t>の概要表</t>
        </is>
      </c>
    </row>
    <row r="3" ht="19.95" customHeight="1">
      <c r="E3" s="15" t="inlineStr">
        <is>
          <t>製造所等</t>
        </is>
      </c>
      <c r="F3" s="15" t="n"/>
    </row>
    <row r="4" ht="9" customHeight="1"/>
    <row r="5" ht="22.95" customHeight="1">
      <c r="A5" s="77" t="inlineStr">
        <is>
          <t>建　　築　　物　　の　　概　　要</t>
        </is>
      </c>
      <c r="O5" s="15" t="inlineStr">
        <is>
          <t>用途</t>
        </is>
      </c>
      <c r="P5" s="21" t="inlineStr">
        <is>
          <t>５項ロ　共同住宅</t>
        </is>
      </c>
      <c r="Q5" s="21" t="n"/>
    </row>
    <row r="6" ht="22.95" customHeight="1">
      <c r="A6" s="78" t="inlineStr">
        <is>
          <t>名　　称</t>
        </is>
      </c>
      <c r="C6" s="79">
        <f>表紙!U12</f>
        <v/>
      </c>
      <c r="G6" s="78" t="inlineStr">
        <is>
          <t>所　在　地</t>
        </is>
      </c>
      <c r="I6" s="80">
        <f>表紙!U11</f>
        <v/>
      </c>
      <c r="AA6" s="11">
        <f>TEXT(P7,)&amp;TEXT(Q7,"##")&amp;TEXT(R7,)</f>
        <v/>
      </c>
      <c r="AC6" s="11">
        <f>TEXT(AA6,)&amp;"　"&amp;TEXT(AA7,)&amp;"　"&amp;TEXT(AA8,)</f>
        <v/>
      </c>
      <c r="AD6" s="11" t="n"/>
      <c r="AE6" s="11" t="n"/>
    </row>
    <row r="7" ht="22.95" customHeight="1">
      <c r="A7" s="78" t="inlineStr">
        <is>
          <t>用　　途</t>
        </is>
      </c>
      <c r="C7" s="79">
        <f>P5</f>
        <v/>
      </c>
      <c r="E7" s="78" t="inlineStr">
        <is>
          <t>階数（階層）</t>
        </is>
      </c>
      <c r="G7" s="62">
        <f>面積概要表!AC6</f>
        <v/>
      </c>
      <c r="O7" s="15" t="inlineStr">
        <is>
          <t>階層</t>
        </is>
      </c>
      <c r="P7" s="15" t="inlineStr">
        <is>
          <t xml:space="preserve">地上 </t>
        </is>
      </c>
      <c r="Q7" s="21" t="n">
        <v>14</v>
      </c>
      <c r="R7" s="15" t="inlineStr">
        <is>
          <t>階</t>
        </is>
      </c>
      <c r="S7" s="15" t="inlineStr">
        <is>
          <t xml:space="preserve">地下 </t>
        </is>
      </c>
      <c r="T7" s="81" t="inlineStr">
        <is>
          <t>--</t>
        </is>
      </c>
      <c r="U7" s="15" t="inlineStr">
        <is>
          <t>階</t>
        </is>
      </c>
      <c r="V7" s="15" t="inlineStr">
        <is>
          <t xml:space="preserve">塔屋 </t>
        </is>
      </c>
      <c r="W7" s="21" t="inlineStr">
        <is>
          <t>--</t>
        </is>
      </c>
      <c r="X7" s="15" t="inlineStr">
        <is>
          <t>階</t>
        </is>
      </c>
      <c r="AA7" s="11">
        <f>TEXT(S7,)&amp;TEXT(T7,"##")&amp;TEXT(U7,)</f>
        <v/>
      </c>
      <c r="AC7" s="15" t="n"/>
    </row>
    <row r="8" ht="22.95" customHeight="1">
      <c r="A8" s="78" t="inlineStr">
        <is>
          <t>主要構造部</t>
        </is>
      </c>
      <c r="C8" s="72" t="inlineStr">
        <is>
          <t>耐火構造・準耐火構造・その他（　　　　　）</t>
        </is>
      </c>
      <c r="I8" s="78" t="inlineStr">
        <is>
          <t>延べ床面積</t>
        </is>
      </c>
      <c r="L8" s="82">
        <f>IF(P8="","㎡",P8)</f>
        <v/>
      </c>
      <c r="O8" s="15" t="inlineStr">
        <is>
          <t>延べ床面積</t>
        </is>
      </c>
      <c r="P8" s="83" t="n"/>
      <c r="R8" s="15" t="inlineStr">
        <is>
          <t>㎡</t>
        </is>
      </c>
      <c r="AA8" s="11">
        <f>TEXT(V7,)&amp;TEXT(W7,"##")&amp;TEXT(X7,)</f>
        <v/>
      </c>
    </row>
    <row r="9" ht="22.95" customHeight="1">
      <c r="A9" s="78" t="inlineStr">
        <is>
          <t>階別</t>
        </is>
      </c>
      <c r="B9" s="84" t="inlineStr">
        <is>
          <t>床面積
　（㎡）</t>
        </is>
      </c>
      <c r="D9" s="78" t="inlineStr">
        <is>
          <t>用途また室名</t>
        </is>
      </c>
      <c r="F9" s="78" t="inlineStr">
        <is>
          <t>構造</t>
        </is>
      </c>
      <c r="H9" s="78" t="inlineStr">
        <is>
          <t>内装仕上げ</t>
        </is>
      </c>
      <c r="L9" s="78" t="inlineStr">
        <is>
          <t>特記事項</t>
        </is>
      </c>
      <c r="P9" s="15" t="n"/>
    </row>
    <row r="10" ht="22.95" customHeight="1">
      <c r="H10" s="78" t="inlineStr">
        <is>
          <t>天井</t>
        </is>
      </c>
      <c r="J10" s="78" t="inlineStr">
        <is>
          <t>壁</t>
        </is>
      </c>
      <c r="P10" s="78" t="inlineStr">
        <is>
          <t>床面積</t>
        </is>
      </c>
      <c r="Q10" s="78" t="inlineStr">
        <is>
          <t>用途または室名</t>
        </is>
      </c>
      <c r="T10" s="78" t="inlineStr">
        <is>
          <t>構造</t>
        </is>
      </c>
    </row>
    <row r="11" ht="22.95" customHeight="1">
      <c r="A11" s="78">
        <f>IF(1&lt;=Q7,"1階",IF($W$7="","","塔屋"))</f>
        <v/>
      </c>
      <c r="B11" s="85">
        <f>IF(P11="","",P11&amp;"㎡")</f>
        <v/>
      </c>
      <c r="D11" s="86">
        <f>IF(Q11="","",Q11)</f>
        <v/>
      </c>
      <c r="F11" s="87">
        <f>T11</f>
        <v/>
      </c>
      <c r="H11" s="87" t="inlineStr">
        <is>
          <t>既設変更無</t>
        </is>
      </c>
      <c r="J11" s="87" t="inlineStr">
        <is>
          <t>既設変更無</t>
        </is>
      </c>
      <c r="L11" s="78" t="n"/>
      <c r="O11" s="88">
        <f>IF(1&lt;=Q7,"1階",IF($W$7="","","塔屋"))</f>
        <v/>
      </c>
      <c r="P11" s="89" t="n"/>
      <c r="Q11" s="90" t="inlineStr">
        <is>
          <t>エントランス・住戸</t>
        </is>
      </c>
      <c r="T11" s="90" t="inlineStr">
        <is>
          <t>鉄筋コンクリート</t>
        </is>
      </c>
    </row>
    <row r="12" ht="22.95" customHeight="1">
      <c r="A12" s="78">
        <f>IF(2&lt;=$Q$7,"2階",IF($W$7="","","塔屋"))</f>
        <v/>
      </c>
      <c r="B12" s="85">
        <f>IF(P12="","",P12&amp;"㎡")</f>
        <v/>
      </c>
      <c r="D12" s="87">
        <f>IF(Q12="","",Q12)</f>
        <v/>
      </c>
      <c r="F12" s="87">
        <f>IF($A12="","",F11)</f>
        <v/>
      </c>
      <c r="H12" s="87">
        <f>IF($A12="","",H11)</f>
        <v/>
      </c>
      <c r="J12" s="87">
        <f>IF($A12="","",J11)</f>
        <v/>
      </c>
      <c r="L12" s="78" t="n"/>
      <c r="O12" s="91">
        <f>IF(2&lt;=$Q$7,"2階",IF($W$7="","","塔屋"))</f>
        <v/>
      </c>
      <c r="P12" s="89" t="n"/>
      <c r="Q12" s="92" t="inlineStr">
        <is>
          <t>住戸</t>
        </is>
      </c>
    </row>
    <row r="13" ht="22.95" customHeight="1">
      <c r="A13" s="78">
        <f>IF(3&lt;=$Q$7,"3階",IF(A12="","",IF(A12="塔屋","",IF($W$7=1,"塔屋",""))))</f>
        <v/>
      </c>
      <c r="B13" s="78">
        <f>IF(P13="","",P13&amp;"㎡")</f>
        <v/>
      </c>
      <c r="D13" s="87">
        <f>IF(Q13="","",Q13)</f>
        <v/>
      </c>
      <c r="F13" s="87">
        <f>IF($A13="","",F12)</f>
        <v/>
      </c>
      <c r="H13" s="87">
        <f>IF($A13="","",H12)</f>
        <v/>
      </c>
      <c r="J13" s="87">
        <f>IF($A13="","",J12)</f>
        <v/>
      </c>
      <c r="L13" s="78" t="n"/>
      <c r="O13" s="91">
        <f>IF(3&lt;=$Q$7,"3階",IF(O12="","",IF(O12="塔屋","",IF($W$7=1,"塔屋",""))))</f>
        <v/>
      </c>
      <c r="P13" s="89" t="n"/>
      <c r="Q13" s="92" t="inlineStr">
        <is>
          <t>住戸</t>
        </is>
      </c>
    </row>
    <row r="14" ht="22.95" customHeight="1">
      <c r="A14" s="78">
        <f>IF(4&lt;=$Q$7,"4階",IF(A13="","",IF(A13="塔屋","",IF($W$7=1,"塔屋",""))))</f>
        <v/>
      </c>
      <c r="B14" s="78">
        <f>IF(P14="","",P14&amp;"㎡")</f>
        <v/>
      </c>
      <c r="D14" s="87">
        <f>IF(Q14="","",Q14)</f>
        <v/>
      </c>
      <c r="F14" s="87">
        <f>IF($A14="","",F13)</f>
        <v/>
      </c>
      <c r="H14" s="87">
        <f>IF($A14="","",H13)</f>
        <v/>
      </c>
      <c r="J14" s="87">
        <f>IF($A14="","",J13)</f>
        <v/>
      </c>
      <c r="L14" s="78" t="n"/>
      <c r="O14" s="91">
        <f>IF(4&lt;=$Q$7,"4階",IF(O13="","",IF(O13="塔屋","",IF($W$7=1,"塔屋",""))))</f>
        <v/>
      </c>
      <c r="P14" s="89" t="n"/>
      <c r="Q14" s="92" t="inlineStr">
        <is>
          <t>住戸</t>
        </is>
      </c>
    </row>
    <row r="15" ht="22.95" customHeight="1">
      <c r="A15" s="78">
        <f>IF(5&lt;=$Q$7,"5階",IF(A14="","",IF(A14="塔屋","",IF($W$7=1,"塔屋",""))))</f>
        <v/>
      </c>
      <c r="B15" s="78">
        <f>IF(P15="","",P15&amp;"㎡")</f>
        <v/>
      </c>
      <c r="D15" s="87">
        <f>IF(Q15="","",Q15)</f>
        <v/>
      </c>
      <c r="F15" s="87">
        <f>IF($A15="","",F14)</f>
        <v/>
      </c>
      <c r="H15" s="87">
        <f>IF($A15="","",H14)</f>
        <v/>
      </c>
      <c r="J15" s="87">
        <f>IF($A15="","",J14)</f>
        <v/>
      </c>
      <c r="L15" s="78" t="n"/>
      <c r="O15" s="91">
        <f>IF(5&lt;=$Q$7,"5階",IF(O14="","",IF(O14="塔屋","",IF($W$7=1,"塔屋",""))))</f>
        <v/>
      </c>
      <c r="P15" s="89" t="n"/>
      <c r="Q15" s="92" t="inlineStr">
        <is>
          <t>住戸</t>
        </is>
      </c>
    </row>
    <row r="16" ht="22.95" customHeight="1">
      <c r="A16" s="78">
        <f>IF(6&lt;=$Q$7,"6階",IF(A15="","",IF(A15="塔屋","",IF($W$7=1,"塔屋",""))))</f>
        <v/>
      </c>
      <c r="B16" s="78">
        <f>IF(P16="","",P16&amp;"㎡")</f>
        <v/>
      </c>
      <c r="D16" s="87">
        <f>IF(Q16="","",Q16)</f>
        <v/>
      </c>
      <c r="F16" s="87">
        <f>IF($A16="","",F15)</f>
        <v/>
      </c>
      <c r="H16" s="87">
        <f>IF($A16="","",H15)</f>
        <v/>
      </c>
      <c r="J16" s="87">
        <f>IF($A16="","",J15)</f>
        <v/>
      </c>
      <c r="L16" s="78" t="n"/>
      <c r="O16" s="91">
        <f>IF(6&lt;=$Q$7,"6階",IF(O15="","",IF(O15="塔屋","",IF($W$7=1,"塔屋",""))))</f>
        <v/>
      </c>
      <c r="P16" s="89" t="n"/>
      <c r="Q16" s="92" t="inlineStr">
        <is>
          <t>住戸</t>
        </is>
      </c>
    </row>
    <row r="17" ht="22.95" customHeight="1">
      <c r="A17" s="78">
        <f>IF(7&lt;=$Q$7,"7階",IF(A16="","",IF(A16="塔屋","",IF($W$7=1,"塔屋",""))))</f>
        <v/>
      </c>
      <c r="B17" s="78">
        <f>IF(P17="","",P17&amp;"㎡")</f>
        <v/>
      </c>
      <c r="D17" s="87">
        <f>IF(Q17="","",Q17)</f>
        <v/>
      </c>
      <c r="F17" s="87">
        <f>IF($A17="","",F16)</f>
        <v/>
      </c>
      <c r="H17" s="87">
        <f>IF($A17="","",H16)</f>
        <v/>
      </c>
      <c r="J17" s="87">
        <f>IF($A17="","",J16)</f>
        <v/>
      </c>
      <c r="L17" s="78" t="n"/>
      <c r="O17" s="91">
        <f>IF(7&lt;=$Q$7,"7階",IF(O16="","",IF(O16="塔屋","",IF($W$7=1,"塔屋",""))))</f>
        <v/>
      </c>
      <c r="P17" s="89" t="n"/>
      <c r="Q17" s="92" t="inlineStr">
        <is>
          <t>住戸</t>
        </is>
      </c>
    </row>
    <row r="18" ht="22.95" customHeight="1">
      <c r="A18" s="78">
        <f>IF(8&lt;=$Q$7,"8階",IF(A17="","",IF(A17="塔屋","",IF($W$7=1,"塔屋",""))))</f>
        <v/>
      </c>
      <c r="B18" s="78">
        <f>IF(P18="","",P18&amp;"㎡")</f>
        <v/>
      </c>
      <c r="D18" s="87">
        <f>IF(Q18="","",Q18)</f>
        <v/>
      </c>
      <c r="F18" s="87">
        <f>IF($A18="","",F17)</f>
        <v/>
      </c>
      <c r="H18" s="87">
        <f>IF($A18="","",H17)</f>
        <v/>
      </c>
      <c r="J18" s="87">
        <f>IF($A18="","",J17)</f>
        <v/>
      </c>
      <c r="L18" s="78" t="n"/>
      <c r="O18" s="91">
        <f>IF(8&lt;=$Q$7,"8階",IF(O17="","",IF(O17="塔屋","",IF($W$7=1,"塔屋",""))))</f>
        <v/>
      </c>
      <c r="P18" s="89" t="n"/>
      <c r="Q18" s="92" t="inlineStr">
        <is>
          <t>住戸</t>
        </is>
      </c>
    </row>
    <row r="19" ht="22.95" customHeight="1">
      <c r="A19" s="78">
        <f>IF(9&lt;=$Q$7,"9階",IF(A18="","",IF(A18="塔屋","",IF($W$7=1,"塔屋",""))))</f>
        <v/>
      </c>
      <c r="B19" s="78">
        <f>IF(P19="","",P19&amp;"㎡")</f>
        <v/>
      </c>
      <c r="D19" s="87">
        <f>IF(Q19="","",Q19)</f>
        <v/>
      </c>
      <c r="F19" s="87">
        <f>IF($A19="","",F18)</f>
        <v/>
      </c>
      <c r="H19" s="87">
        <f>IF($A19="","",H18)</f>
        <v/>
      </c>
      <c r="J19" s="87">
        <f>IF($A19="","",J18)</f>
        <v/>
      </c>
      <c r="L19" s="78" t="n"/>
      <c r="O19" s="91">
        <f>IF(9&lt;=$Q$7,"9階",IF(O18="","",IF(O18="塔屋","",IF($W$7=1,"塔屋",""))))</f>
        <v/>
      </c>
      <c r="P19" s="89" t="n"/>
      <c r="Q19" s="92" t="inlineStr">
        <is>
          <t>住戸</t>
        </is>
      </c>
    </row>
    <row r="20" ht="22.95" customHeight="1">
      <c r="A20" s="78">
        <f>IF(10&lt;=$Q$7,"10階",IF(A19="","",IF(A19="塔屋","",IF($W$7=1,"塔屋",""))))</f>
        <v/>
      </c>
      <c r="B20" s="85">
        <f>IF(P20="","",P20&amp;"㎡")</f>
        <v/>
      </c>
      <c r="D20" s="87">
        <f>IF(Q20="","",Q20)</f>
        <v/>
      </c>
      <c r="F20" s="87">
        <f>IF($A20="","",F19)</f>
        <v/>
      </c>
      <c r="H20" s="87">
        <f>IF($A20="","",H19)</f>
        <v/>
      </c>
      <c r="J20" s="87">
        <f>IF($A20="","",J19)</f>
        <v/>
      </c>
      <c r="L20" s="78" t="n"/>
      <c r="O20" s="91">
        <f>IF(10&lt;=$Q$7,"10階",IF(O19="","",IF(O19="塔屋","",IF($W$7=1,"塔屋",""))))</f>
        <v/>
      </c>
      <c r="P20" s="89" t="n"/>
      <c r="Q20" s="92" t="inlineStr">
        <is>
          <t>住戸</t>
        </is>
      </c>
    </row>
    <row r="21" ht="22.95" customHeight="1">
      <c r="A21" s="78">
        <f>IF(11&lt;=$Q$7,"11階",IF(A20="","",IF(A20="塔屋","",IF($W$7=1,"塔屋",""))))</f>
        <v/>
      </c>
      <c r="B21" s="85">
        <f>IF(P21="","",P21&amp;"㎡")</f>
        <v/>
      </c>
      <c r="D21" s="87">
        <f>IF(Q21="","",Q21)</f>
        <v/>
      </c>
      <c r="F21" s="87">
        <f>IF($A21="","",F20)</f>
        <v/>
      </c>
      <c r="H21" s="87">
        <f>IF($A21="","",H20)</f>
        <v/>
      </c>
      <c r="J21" s="87">
        <f>IF($A21="","",J20)</f>
        <v/>
      </c>
      <c r="L21" s="78" t="n"/>
      <c r="O21" s="91">
        <f>IF(11&lt;=$Q$7,"11階",IF(O20="","",IF(O20="塔屋","",IF($W$7=1,"塔屋",""))))</f>
        <v/>
      </c>
      <c r="P21" s="89" t="n"/>
      <c r="Q21" s="92" t="inlineStr">
        <is>
          <t>住戸</t>
        </is>
      </c>
    </row>
    <row r="22" ht="22.95" customHeight="1">
      <c r="A22" s="78">
        <f>IF(12&lt;=$Q$7,"12階",IF(A21="","",IF(A21="塔屋","",IF($W$7=1,"塔屋",""))))</f>
        <v/>
      </c>
      <c r="B22" s="85">
        <f>IF(P22="","",P22&amp;"㎡")</f>
        <v/>
      </c>
      <c r="D22" s="87">
        <f>IF(Q22="","",Q22)</f>
        <v/>
      </c>
      <c r="F22" s="87">
        <f>IF($A22="","",F21)</f>
        <v/>
      </c>
      <c r="H22" s="87">
        <f>IF($A22="","",H21)</f>
        <v/>
      </c>
      <c r="J22" s="87">
        <f>IF($A22="","",J21)</f>
        <v/>
      </c>
      <c r="L22" s="78" t="n"/>
      <c r="O22" s="91">
        <f>IF(12&lt;=$Q$7,"12階",IF(O21="","",IF(O21="塔屋","",IF($W$7=1,"塔屋",""))))</f>
        <v/>
      </c>
      <c r="P22" s="89" t="n"/>
      <c r="Q22" s="92" t="inlineStr">
        <is>
          <t>住戸</t>
        </is>
      </c>
    </row>
    <row r="23" ht="22.95" customHeight="1">
      <c r="A23" s="78">
        <f>IF(13&lt;=$Q$7,"13階",IF(A22="","",IF(A22="塔屋","",IF($W$7=1,"塔屋",""))))</f>
        <v/>
      </c>
      <c r="B23" s="85">
        <f>IF(P23="","",P23&amp;"㎡")</f>
        <v/>
      </c>
      <c r="D23" s="87">
        <f>IF(Q23="","",Q23)</f>
        <v/>
      </c>
      <c r="F23" s="87">
        <f>IF($A23="","",F22)</f>
        <v/>
      </c>
      <c r="H23" s="87">
        <f>IF($A23="","",H22)</f>
        <v/>
      </c>
      <c r="J23" s="87">
        <f>IF($A23="","",J22)</f>
        <v/>
      </c>
      <c r="L23" s="78" t="n"/>
      <c r="O23" s="91">
        <f>IF(13&lt;=$Q$7,"13階",IF(O22="","",IF(O22="塔屋","",IF($W$7=1,"塔屋",""))))</f>
        <v/>
      </c>
      <c r="P23" s="89" t="n"/>
      <c r="Q23" s="92" t="inlineStr">
        <is>
          <t>住戸</t>
        </is>
      </c>
    </row>
    <row r="24" ht="22.95" customHeight="1">
      <c r="A24" s="78">
        <f>IF(14&lt;=$Q$7,"14階",IF(A23="","",IF(A23="塔屋","",IF($W$7=1,"塔屋",""))))</f>
        <v/>
      </c>
      <c r="B24" s="85">
        <f>IF(P24="","",P24&amp;"㎡")</f>
        <v/>
      </c>
      <c r="D24" s="87">
        <f>IF(Q24="","",Q24)</f>
        <v/>
      </c>
      <c r="F24" s="87">
        <f>IF($A24="","",F23)</f>
        <v/>
      </c>
      <c r="H24" s="87">
        <f>IF($A24="","",H23)</f>
        <v/>
      </c>
      <c r="J24" s="87">
        <f>IF($A24="","",J23)</f>
        <v/>
      </c>
      <c r="L24" s="78" t="n"/>
      <c r="O24" s="91">
        <f>IF(14&lt;=$Q$7,"14階",IF(O23="","",IF(O23="塔屋","",IF($W$7=1,"塔屋",""))))</f>
        <v/>
      </c>
      <c r="P24" s="89" t="n"/>
      <c r="Q24" s="92" t="inlineStr">
        <is>
          <t>住戸</t>
        </is>
      </c>
    </row>
    <row r="25" ht="22.95" customHeight="1">
      <c r="A25" s="78">
        <f>IF(15&lt;=$Q$7,"15階",IF(A24="","",IF(A24="塔屋","",IF($W$7=1,"塔屋",""))))</f>
        <v/>
      </c>
      <c r="B25" s="85">
        <f>IF(P25="","",P25&amp;"㎡")</f>
        <v/>
      </c>
      <c r="D25" s="87">
        <f>IF(Q25="","",Q25)</f>
        <v/>
      </c>
      <c r="F25" s="87">
        <f>IF($A25="","",F24)</f>
        <v/>
      </c>
      <c r="H25" s="87">
        <f>IF($A25="","",H24)</f>
        <v/>
      </c>
      <c r="J25" s="87">
        <f>IF($A25="","",J24)</f>
        <v/>
      </c>
      <c r="L25" s="78" t="n"/>
      <c r="O25" s="91">
        <f>IF(15&lt;=$Q$7,"15階",IF(O24="","",IF(O24="塔屋","",IF($W$7=1,"塔屋",""))))</f>
        <v/>
      </c>
      <c r="P25" s="89" t="n"/>
      <c r="Q25" s="92" t="n"/>
    </row>
    <row r="26" ht="22.05" customHeight="1">
      <c r="A26" s="93" t="inlineStr">
        <is>
          <t>そ　の　他</t>
        </is>
      </c>
      <c r="B26" s="94" t="n"/>
      <c r="C26" s="95" t="n"/>
      <c r="D26" s="95" t="n"/>
      <c r="E26" s="95" t="n"/>
      <c r="F26" s="95" t="n"/>
      <c r="G26" s="95" t="n"/>
      <c r="H26" s="95" t="n"/>
      <c r="I26" s="95" t="n"/>
      <c r="J26" s="95" t="n"/>
      <c r="K26" s="95" t="n"/>
      <c r="L26" s="95" t="n"/>
      <c r="M26" s="96" t="n"/>
    </row>
    <row r="27" ht="22.05" customHeight="1">
      <c r="B27" s="97" t="n"/>
      <c r="C27" s="15" t="n"/>
      <c r="D27" s="15" t="n"/>
      <c r="E27" s="15" t="n"/>
      <c r="F27" s="15" t="n"/>
      <c r="G27" s="15" t="n"/>
      <c r="H27" s="15" t="n"/>
      <c r="I27" s="15" t="n"/>
      <c r="J27" s="15" t="n"/>
      <c r="K27" s="15" t="n"/>
      <c r="L27" s="15" t="n"/>
      <c r="M27" s="98" t="n"/>
    </row>
    <row r="28" ht="22.05" customHeight="1">
      <c r="B28" s="97" t="n"/>
      <c r="C28" s="15" t="n"/>
      <c r="D28" s="15" t="n"/>
      <c r="E28" s="15" t="n"/>
      <c r="F28" s="15" t="n"/>
      <c r="G28" s="15" t="n"/>
      <c r="H28" s="15" t="n"/>
      <c r="I28" s="15" t="n"/>
      <c r="J28" s="15" t="n"/>
      <c r="K28" s="15" t="n"/>
      <c r="L28" s="15" t="n"/>
      <c r="M28" s="98" t="n"/>
    </row>
    <row r="29" ht="22.05" customHeight="1">
      <c r="B29" s="97" t="n"/>
      <c r="C29" s="15" t="n"/>
      <c r="D29" s="15" t="n"/>
      <c r="E29" s="15" t="n"/>
      <c r="F29" s="15" t="n"/>
      <c r="G29" s="15" t="n"/>
      <c r="H29" s="15" t="n"/>
      <c r="I29" s="15" t="n"/>
      <c r="J29" s="15" t="n"/>
      <c r="K29" s="15" t="n"/>
      <c r="L29" s="15" t="n"/>
      <c r="M29" s="98" t="n"/>
    </row>
    <row r="30" ht="22.05" customHeight="1">
      <c r="B30" s="99" t="n"/>
      <c r="C30" s="100" t="n"/>
      <c r="D30" s="100" t="n"/>
      <c r="E30" s="100" t="n"/>
      <c r="F30" s="100" t="n"/>
      <c r="G30" s="100" t="n"/>
      <c r="H30" s="100" t="n"/>
      <c r="I30" s="100" t="n"/>
      <c r="J30" s="100" t="n"/>
      <c r="K30" s="100" t="n"/>
      <c r="L30" s="100" t="n"/>
      <c r="M30" s="101" t="n"/>
    </row>
    <row r="31" ht="22.05" customHeight="1">
      <c r="A31" s="102" t="inlineStr">
        <is>
          <t>備考　１　この用紙の大きさは、日本産業規格Ａ４とすること。</t>
        </is>
      </c>
      <c r="B31" s="103" t="n"/>
    </row>
    <row r="32" ht="22.05" customHeight="1">
      <c r="A32" s="102" t="inlineStr">
        <is>
          <t xml:space="preserve">　　　２　消防用設備等の設置に係る階について、各階ごとに記入すること。</t>
        </is>
      </c>
      <c r="B32" s="103" t="n"/>
    </row>
    <row r="33" ht="22.05" customHeight="1"/>
    <row r="34" ht="22.05" customHeight="1"/>
    <row r="35" ht="22.05" customHeight="1"/>
    <row r="36" ht="22.05" customHeight="1"/>
  </sheetData>
  <mergeCells count="132">
    <mergeCell ref="L17:M17"/>
    <mergeCell ref="Q14:S14"/>
    <mergeCell ref="D20:E20"/>
    <mergeCell ref="Q23:S23"/>
    <mergeCell ref="A5:M5"/>
    <mergeCell ref="F16:G16"/>
    <mergeCell ref="I6:M6"/>
    <mergeCell ref="H10:I10"/>
    <mergeCell ref="F25:G25"/>
    <mergeCell ref="J10:K10"/>
    <mergeCell ref="J19:K19"/>
    <mergeCell ref="B22:C22"/>
    <mergeCell ref="L19:M19"/>
    <mergeCell ref="D22:E22"/>
    <mergeCell ref="D9:E10"/>
    <mergeCell ref="A26:A30"/>
    <mergeCell ref="B12:C12"/>
    <mergeCell ref="F9:G10"/>
    <mergeCell ref="Q15:S15"/>
    <mergeCell ref="B21:C21"/>
    <mergeCell ref="L12:M12"/>
    <mergeCell ref="A7:B7"/>
    <mergeCell ref="F15:G15"/>
    <mergeCell ref="D13:E13"/>
    <mergeCell ref="I8:K8"/>
    <mergeCell ref="C6:F6"/>
    <mergeCell ref="B14:C14"/>
    <mergeCell ref="L14:M14"/>
    <mergeCell ref="B13:C13"/>
    <mergeCell ref="H9:K9"/>
    <mergeCell ref="G2:H3"/>
    <mergeCell ref="F23:G23"/>
    <mergeCell ref="Q25:S25"/>
    <mergeCell ref="F13:G13"/>
    <mergeCell ref="H13:I13"/>
    <mergeCell ref="J21:K21"/>
    <mergeCell ref="B24:C24"/>
    <mergeCell ref="L21:M21"/>
    <mergeCell ref="D24:E24"/>
    <mergeCell ref="H15:I15"/>
    <mergeCell ref="H23:I23"/>
    <mergeCell ref="J23:K23"/>
    <mergeCell ref="T10:V10"/>
    <mergeCell ref="B16:C16"/>
    <mergeCell ref="Q19:S19"/>
    <mergeCell ref="B25:C25"/>
    <mergeCell ref="L16:M16"/>
    <mergeCell ref="D19:E19"/>
    <mergeCell ref="F19:G19"/>
    <mergeCell ref="B18:C18"/>
    <mergeCell ref="B9:C10"/>
    <mergeCell ref="L9:M10"/>
    <mergeCell ref="H25:I25"/>
    <mergeCell ref="Q22:S22"/>
    <mergeCell ref="B11:C11"/>
    <mergeCell ref="D11:E11"/>
    <mergeCell ref="F20:G20"/>
    <mergeCell ref="F18:G18"/>
    <mergeCell ref="F17:G17"/>
    <mergeCell ref="H17:I17"/>
    <mergeCell ref="H11:I11"/>
    <mergeCell ref="J11:K11"/>
    <mergeCell ref="J20:K20"/>
    <mergeCell ref="L20:M20"/>
    <mergeCell ref="Q13:S13"/>
    <mergeCell ref="H19:I19"/>
    <mergeCell ref="J22:K22"/>
    <mergeCell ref="Q16:S16"/>
    <mergeCell ref="A8:B8"/>
    <mergeCell ref="L22:M22"/>
    <mergeCell ref="H12:I12"/>
    <mergeCell ref="J12:K12"/>
    <mergeCell ref="B15:C15"/>
    <mergeCell ref="A9:A10"/>
    <mergeCell ref="D15:E15"/>
    <mergeCell ref="Q24:S24"/>
    <mergeCell ref="Q18:S18"/>
    <mergeCell ref="D23:E23"/>
    <mergeCell ref="H14:I14"/>
    <mergeCell ref="Q10:S10"/>
    <mergeCell ref="F21:G21"/>
    <mergeCell ref="H21:I21"/>
    <mergeCell ref="J24:K24"/>
    <mergeCell ref="L24:M24"/>
    <mergeCell ref="L18:M18"/>
    <mergeCell ref="C8:H8"/>
    <mergeCell ref="B17:C17"/>
    <mergeCell ref="Q17:S17"/>
    <mergeCell ref="L8:M8"/>
    <mergeCell ref="D17:E17"/>
    <mergeCell ref="H16:I16"/>
    <mergeCell ref="J16:K16"/>
    <mergeCell ref="B19:C19"/>
    <mergeCell ref="J25:K25"/>
    <mergeCell ref="L25:M25"/>
    <mergeCell ref="F22:G22"/>
    <mergeCell ref="H22:I22"/>
    <mergeCell ref="Q12:S12"/>
    <mergeCell ref="D12:E12"/>
    <mergeCell ref="Q21:S21"/>
    <mergeCell ref="D25:E25"/>
    <mergeCell ref="C7:D7"/>
    <mergeCell ref="E7:F7"/>
    <mergeCell ref="B20:C20"/>
    <mergeCell ref="L11:M11"/>
    <mergeCell ref="D14:E14"/>
    <mergeCell ref="F14:G14"/>
    <mergeCell ref="F11:G11"/>
    <mergeCell ref="H20:I20"/>
    <mergeCell ref="J14:K14"/>
    <mergeCell ref="J13:K13"/>
    <mergeCell ref="A6:B6"/>
    <mergeCell ref="T11:V11"/>
    <mergeCell ref="L13:M13"/>
    <mergeCell ref="D21:E21"/>
    <mergeCell ref="F12:G12"/>
    <mergeCell ref="F24:G24"/>
    <mergeCell ref="J15:K15"/>
    <mergeCell ref="P8:Q8"/>
    <mergeCell ref="L15:M15"/>
    <mergeCell ref="B23:C23"/>
    <mergeCell ref="G6:H6"/>
    <mergeCell ref="L23:M23"/>
    <mergeCell ref="Q11:S11"/>
    <mergeCell ref="D16:E16"/>
    <mergeCell ref="G7:M7"/>
    <mergeCell ref="D18:E18"/>
    <mergeCell ref="H24:I24"/>
    <mergeCell ref="H18:I18"/>
    <mergeCell ref="J18:K18"/>
    <mergeCell ref="J17:K17"/>
    <mergeCell ref="Q20:S20"/>
  </mergeCells>
  <dataValidations count="1">
    <dataValidation sqref="T11:V11" showDropDown="0" showInputMessage="1" showErrorMessage="1" allowBlank="1" type="list">
      <formula1>"鉄骨鉄筋コンクリート,鉄筋コンクリート"</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tabColor theme="9"/>
    <outlinePr summaryBelow="1" summaryRight="1"/>
    <pageSetUpPr fitToPage="1"/>
  </sheetPr>
  <dimension ref="A1:AI40"/>
  <sheetViews>
    <sheetView workbookViewId="0">
      <selection activeCell="A1" sqref="A1"/>
    </sheetView>
  </sheetViews>
  <sheetFormatPr baseColWidth="8" defaultRowHeight="15"/>
  <cols>
    <col width="3.69921875" customWidth="1" min="1" max="1"/>
    <col width="6.19921875" customWidth="1" min="2" max="2"/>
    <col width="8.19921875" customWidth="1" min="6" max="6"/>
    <col width="6.19921875" customWidth="1" min="7" max="7"/>
    <col width="6.19921875" customWidth="1" min="12" max="12"/>
    <col width="6.19921875" customWidth="1" min="13" max="13"/>
    <col width="2.69921875" customWidth="1" min="14" max="14"/>
    <col width="6.19921875" customWidth="1" min="15" max="15"/>
    <col width="7" customWidth="1" min="16" max="16"/>
    <col width="10.3984375" customWidth="1" min="17" max="17"/>
    <col width="7" customWidth="1" min="18" max="18"/>
    <col width="4.09765625" customWidth="1" min="19" max="19"/>
    <col width="6.19921875" customWidth="1" min="20" max="20"/>
    <col width="6.19921875" customWidth="1" min="21" max="21"/>
    <col width="6.19921875" customWidth="1" min="22" max="22"/>
    <col width="6.796875" customWidth="1" min="23" max="23"/>
    <col width="6.19921875" customWidth="1" min="24" max="24"/>
    <col width="4.8984375" customWidth="1" min="25" max="25"/>
    <col width="14.3984375" customWidth="1" min="26" max="26"/>
    <col width="6.19921875" customWidth="1" min="27" max="27"/>
  </cols>
  <sheetData>
    <row r="1" ht="18.45" customHeight="1">
      <c r="A1" s="15" t="inlineStr">
        <is>
          <t xml:space="preserve">別記様式５　</t>
        </is>
      </c>
      <c r="B1" s="15" t="n"/>
      <c r="C1" s="15" t="n"/>
      <c r="D1" s="15" t="n"/>
      <c r="E1" s="15" t="n"/>
      <c r="F1" s="15" t="n"/>
      <c r="G1" s="15" t="n"/>
      <c r="H1" s="15" t="n"/>
      <c r="I1" s="15" t="n"/>
      <c r="J1" s="15" t="n"/>
      <c r="K1" s="15" t="n"/>
      <c r="L1" s="76" t="n"/>
      <c r="M1" s="104" t="inlineStr">
        <is>
          <t>【共用部】</t>
        </is>
      </c>
      <c r="N1" s="105" t="n"/>
      <c r="P1" s="15" t="inlineStr">
        <is>
          <t>左のシートはプルダウンのみ操作</t>
        </is>
      </c>
      <c r="AB1" s="106" t="inlineStr">
        <is>
          <t>触るな危険</t>
        </is>
      </c>
      <c r="AC1" s="106" t="n"/>
    </row>
    <row r="2" ht="18.45" customHeight="1">
      <c r="A2" s="107" t="inlineStr">
        <is>
          <t>自 動 火 災 報 知 設 備 の 概 要 表</t>
        </is>
      </c>
      <c r="B2" s="107" t="n"/>
      <c r="C2" s="107" t="n"/>
      <c r="D2" s="107" t="n"/>
      <c r="E2" s="107" t="n"/>
      <c r="F2" s="107" t="n"/>
      <c r="G2" s="107" t="n"/>
      <c r="H2" s="107" t="n"/>
      <c r="I2" s="107" t="n"/>
      <c r="J2" s="107" t="n"/>
      <c r="K2" s="107" t="n"/>
      <c r="L2" s="107" t="n"/>
      <c r="M2" s="104" t="inlineStr">
        <is>
          <t>（その１）</t>
        </is>
      </c>
      <c r="P2" s="78" t="inlineStr">
        <is>
          <t>入力フォーム</t>
        </is>
      </c>
      <c r="AB2" s="108" t="inlineStr">
        <is>
          <t>差動式</t>
        </is>
      </c>
      <c r="AC2" s="109" t="inlineStr">
        <is>
          <t>（　　　　)</t>
        </is>
      </c>
      <c r="AD2" s="109" t="n"/>
      <c r="AE2" s="110" t="inlineStr">
        <is>
          <t>〇</t>
        </is>
      </c>
      <c r="AF2" s="109" t="inlineStr">
        <is>
          <t>特種</t>
        </is>
      </c>
      <c r="AG2" s="109" t="inlineStr">
        <is>
          <t>パナソニック㈱</t>
        </is>
      </c>
      <c r="AH2" s="111" t="n"/>
    </row>
    <row r="3" ht="18.45" customHeight="1">
      <c r="A3" s="93" t="inlineStr">
        <is>
          <t xml:space="preserve">　　感　　　　　　　知　　　　　　　器　　</t>
        </is>
      </c>
      <c r="B3" s="112" t="inlineStr">
        <is>
          <t>機　　　　　種</t>
        </is>
      </c>
      <c r="I3" s="112" t="inlineStr">
        <is>
          <t>蓄積</t>
        </is>
      </c>
      <c r="J3" s="112" t="inlineStr">
        <is>
          <t>自動</t>
        </is>
      </c>
      <c r="K3" s="112" t="inlineStr">
        <is>
          <t>遠隔</t>
        </is>
      </c>
      <c r="L3" s="112" t="inlineStr">
        <is>
          <t>種別</t>
        </is>
      </c>
      <c r="M3" s="112" t="inlineStr">
        <is>
          <t>個数</t>
        </is>
      </c>
      <c r="P3" s="113" t="inlineStr">
        <is>
          <t>機種</t>
        </is>
      </c>
      <c r="T3" s="114" t="inlineStr">
        <is>
          <t>蓄積</t>
        </is>
      </c>
      <c r="U3" s="114" t="inlineStr">
        <is>
          <t>自動</t>
        </is>
      </c>
      <c r="V3" s="114" t="inlineStr">
        <is>
          <t>遠隔</t>
        </is>
      </c>
      <c r="W3" s="114" t="inlineStr">
        <is>
          <t>種別</t>
        </is>
      </c>
      <c r="X3" s="78" t="inlineStr">
        <is>
          <t>個数</t>
        </is>
      </c>
      <c r="AB3" s="115" t="inlineStr">
        <is>
          <t>定温式</t>
        </is>
      </c>
      <c r="AC3" s="116" t="inlineStr">
        <is>
          <t>（60℃防水)</t>
        </is>
      </c>
      <c r="AD3" s="116" t="n"/>
      <c r="AE3" s="116" t="n"/>
      <c r="AF3" s="116" t="inlineStr">
        <is>
          <t>1種</t>
        </is>
      </c>
      <c r="AG3" s="116" t="inlineStr">
        <is>
          <t>ニッタン(株)</t>
        </is>
      </c>
      <c r="AH3" s="117" t="n"/>
      <c r="AI3" s="75" t="inlineStr">
        <is>
          <t>(自己保持)</t>
        </is>
      </c>
    </row>
    <row r="4" ht="18.45" customHeight="1">
      <c r="B4" s="118">
        <f>IF(P4="","",P4&amp;" "&amp;Q4&amp;" "&amp;Q5)</f>
        <v/>
      </c>
      <c r="G4" s="119">
        <f>IF(R4="","",R4)</f>
        <v/>
      </c>
      <c r="H4" s="120" t="n"/>
      <c r="I4" s="113">
        <f>IF(T4="","",T4)</f>
        <v/>
      </c>
      <c r="J4" s="113">
        <f>IF(U4="","",U4)</f>
        <v/>
      </c>
      <c r="K4" s="113">
        <f>IF(V4="","",V4)</f>
        <v/>
      </c>
      <c r="L4" s="113">
        <f>IF(W4="","",W4)</f>
        <v/>
      </c>
      <c r="M4" s="121">
        <f>IF(X4="","",X4)</f>
        <v/>
      </c>
      <c r="P4" s="122" t="inlineStr">
        <is>
          <t>差動式</t>
        </is>
      </c>
      <c r="Q4" s="123" t="inlineStr">
        <is>
          <t>スポット型</t>
        </is>
      </c>
      <c r="R4" s="92" t="inlineStr">
        <is>
          <t>（　　　　)</t>
        </is>
      </c>
      <c r="T4" s="92" t="n"/>
      <c r="U4" s="92" t="n"/>
      <c r="V4" s="92" t="n"/>
      <c r="W4" s="124" t="inlineStr">
        <is>
          <t>2種</t>
        </is>
      </c>
      <c r="X4" s="92" t="n">
        <v>8</v>
      </c>
      <c r="Y4" s="15" t="n"/>
      <c r="AB4" s="115" t="inlineStr">
        <is>
          <t>光電式</t>
        </is>
      </c>
      <c r="AC4" s="116" t="inlineStr">
        <is>
          <t>（70℃防水)</t>
        </is>
      </c>
      <c r="AD4" s="116" t="n"/>
      <c r="AE4" s="116" t="n"/>
      <c r="AF4" s="116" t="inlineStr">
        <is>
          <t>2種</t>
        </is>
      </c>
      <c r="AG4" s="116" t="inlineStr">
        <is>
          <t>能美防災㈱</t>
        </is>
      </c>
      <c r="AH4" s="117" t="n"/>
      <c r="AI4" s="75" t="inlineStr">
        <is>
          <t>(3線式)</t>
        </is>
      </c>
    </row>
    <row r="5" ht="18.45" customHeight="1">
      <c r="B5" s="112">
        <f>IF(P4="","","型 式 番 号   感  第")</f>
        <v/>
      </c>
      <c r="E5" s="125">
        <f>IF(P4="","",TEXT(R5,"##")&amp;"～"&amp;TEXT(T5,"##")&amp;"号")</f>
        <v/>
      </c>
      <c r="G5" s="126">
        <f>IF(P4="","","製造会社名")</f>
        <v/>
      </c>
      <c r="I5" s="127">
        <f>IF(V5="","",V5)</f>
        <v/>
      </c>
      <c r="P5" s="128" t="n"/>
      <c r="Q5" s="129" t="inlineStr">
        <is>
          <t>(自己保持)</t>
        </is>
      </c>
      <c r="R5" s="130" t="n">
        <v>2021</v>
      </c>
      <c r="S5" s="112" t="inlineStr">
        <is>
          <t>～</t>
        </is>
      </c>
      <c r="T5" s="130" t="n">
        <v>35</v>
      </c>
      <c r="U5" s="112" t="n"/>
      <c r="V5" s="131" t="inlineStr">
        <is>
          <t>パナソニック㈱</t>
        </is>
      </c>
      <c r="AB5" s="115" t="n"/>
      <c r="AC5" s="116" t="inlineStr">
        <is>
          <t>（75℃防水)</t>
        </is>
      </c>
      <c r="AD5" s="116" t="n"/>
      <c r="AE5" s="116" t="n"/>
      <c r="AF5" s="116" t="inlineStr">
        <is>
          <t>3種</t>
        </is>
      </c>
      <c r="AG5" s="116" t="inlineStr">
        <is>
          <t>ホーチキ㈱</t>
        </is>
      </c>
      <c r="AH5" s="117" t="n"/>
      <c r="AI5" s="75" t="inlineStr">
        <is>
          <t>(3線式 自己保持)</t>
        </is>
      </c>
    </row>
    <row r="6" ht="18.45" customHeight="1">
      <c r="B6" s="118">
        <f>IF(P6="","",P6&amp;" "&amp;Q6&amp;" "&amp;Q7)</f>
        <v/>
      </c>
      <c r="G6" s="119">
        <f>IF(R6="","",R6)</f>
        <v/>
      </c>
      <c r="H6" s="120" t="n"/>
      <c r="I6" s="113">
        <f>IF(T6="","",T6)</f>
        <v/>
      </c>
      <c r="J6" s="113">
        <f>IF(U6="","",U6)</f>
        <v/>
      </c>
      <c r="K6" s="113">
        <f>IF(V6="","",V6)</f>
        <v/>
      </c>
      <c r="L6" s="113">
        <f>IF(W6="","",W6)</f>
        <v/>
      </c>
      <c r="M6" s="121">
        <f>IF(X6="","",X6)</f>
        <v/>
      </c>
      <c r="P6" s="122" t="inlineStr">
        <is>
          <t>光電式</t>
        </is>
      </c>
      <c r="Q6" s="123" t="inlineStr">
        <is>
          <t>スポット型</t>
        </is>
      </c>
      <c r="R6" s="92" t="inlineStr">
        <is>
          <t>（　　　　)</t>
        </is>
      </c>
      <c r="T6" s="92" t="n"/>
      <c r="U6" s="92" t="n"/>
      <c r="V6" s="92" t="n"/>
      <c r="W6" s="124" t="inlineStr">
        <is>
          <t>2種</t>
        </is>
      </c>
      <c r="X6" s="92" t="n">
        <v>1</v>
      </c>
      <c r="AB6" s="115" t="n"/>
      <c r="AC6" s="116" t="inlineStr">
        <is>
          <t>（65℃防水)</t>
        </is>
      </c>
      <c r="AD6" s="116" t="n"/>
      <c r="AE6" s="116" t="n"/>
      <c r="AF6" s="116" t="n"/>
      <c r="AG6" s="116" t="inlineStr">
        <is>
          <t>JVCケンウッド　㈱パナソニック</t>
        </is>
      </c>
      <c r="AH6" s="117" t="n"/>
    </row>
    <row r="7" ht="18.45" customHeight="1">
      <c r="B7" s="112">
        <f>IF(P6="","","型 式 番 号   感  第")</f>
        <v/>
      </c>
      <c r="E7" s="125">
        <f>IF(P6="","",TEXT(R7,"##")&amp;"～"&amp;TEXT(T7,"##")&amp;"号")</f>
        <v/>
      </c>
      <c r="G7" s="126">
        <f>IF(P6="","","製造会社名")</f>
        <v/>
      </c>
      <c r="I7" s="127">
        <f>IF(V7="","",V7)</f>
        <v/>
      </c>
      <c r="P7" s="128" t="n"/>
      <c r="Q7" s="129" t="n"/>
      <c r="R7" s="130" t="n">
        <v>24</v>
      </c>
      <c r="S7" s="112" t="inlineStr">
        <is>
          <t>～</t>
        </is>
      </c>
      <c r="T7" s="130" t="n">
        <v>29</v>
      </c>
      <c r="U7" s="112" t="n"/>
      <c r="V7" s="131" t="inlineStr">
        <is>
          <t>パナソニック㈱</t>
        </is>
      </c>
      <c r="AB7" s="115" t="n"/>
      <c r="AC7" s="116" t="inlineStr">
        <is>
          <t>（100℃防水)</t>
        </is>
      </c>
      <c r="AD7" s="116" t="n"/>
      <c r="AE7" s="116" t="n"/>
      <c r="AF7" s="116" t="n"/>
      <c r="AG7" s="116" t="n"/>
      <c r="AH7" s="117" t="n"/>
    </row>
    <row r="8" ht="18.45" customHeight="1">
      <c r="B8" s="118">
        <f>IF(P8="","",P8&amp;" "&amp;Q8&amp;" "&amp;Q9)</f>
        <v/>
      </c>
      <c r="G8" s="119">
        <f>IF(R8="","",R8)</f>
        <v/>
      </c>
      <c r="H8" s="120" t="n"/>
      <c r="I8" s="113">
        <f>IF(T8="","",T8)</f>
        <v/>
      </c>
      <c r="J8" s="113">
        <f>IF(U8="","",U8)</f>
        <v/>
      </c>
      <c r="K8" s="113">
        <f>IF(V8="","",V8)</f>
        <v/>
      </c>
      <c r="L8" s="113">
        <f>IF(W8="","",W8)</f>
        <v/>
      </c>
      <c r="M8" s="121">
        <f>IF(X8="","",X8)</f>
        <v/>
      </c>
      <c r="P8" s="122" t="inlineStr">
        <is>
          <t>定温式</t>
        </is>
      </c>
      <c r="Q8" s="123" t="inlineStr">
        <is>
          <t>スポット型</t>
        </is>
      </c>
      <c r="R8" s="92" t="inlineStr">
        <is>
          <t>（60℃防水)</t>
        </is>
      </c>
      <c r="T8" s="92" t="n"/>
      <c r="U8" s="92" t="n"/>
      <c r="V8" s="92" t="n"/>
      <c r="W8" s="124" t="inlineStr">
        <is>
          <t>特種</t>
        </is>
      </c>
      <c r="X8" s="92" t="n">
        <v>11</v>
      </c>
      <c r="Z8" s="15" t="n"/>
      <c r="AB8" s="115" t="n"/>
      <c r="AC8" s="116" t="n"/>
      <c r="AD8" s="116" t="n"/>
      <c r="AE8" s="132" t="n"/>
      <c r="AF8" s="132" t="n"/>
      <c r="AG8" s="132" t="n"/>
      <c r="AH8" s="133" t="n"/>
    </row>
    <row r="9" ht="18.45" customHeight="1">
      <c r="B9" s="112">
        <f>IF(P8="","","型 式 番 号   感  第")</f>
        <v/>
      </c>
      <c r="E9" s="125">
        <f>IF(P8="","",TEXT(R9,"##")&amp;"～"&amp;TEXT(T9,"##")&amp;"号")</f>
        <v/>
      </c>
      <c r="G9" s="126">
        <f>IF(P8="","","製造会社名")</f>
        <v/>
      </c>
      <c r="I9" s="127">
        <f>IF(V9="","",V9)</f>
        <v/>
      </c>
      <c r="P9" s="128" t="n"/>
      <c r="Q9" s="129" t="inlineStr">
        <is>
          <t>(自己保持)</t>
        </is>
      </c>
      <c r="R9" s="130" t="n">
        <v>17</v>
      </c>
      <c r="S9" s="112" t="inlineStr">
        <is>
          <t>～</t>
        </is>
      </c>
      <c r="T9" s="130" t="n">
        <v>2</v>
      </c>
      <c r="U9" s="112" t="n"/>
      <c r="V9" s="131" t="inlineStr">
        <is>
          <t>パナソニック㈱</t>
        </is>
      </c>
    </row>
    <row r="10" ht="18.45" customHeight="1">
      <c r="B10" s="118">
        <f>IF(P10="","",P10&amp;" "&amp;Q10&amp;" "&amp;Q11)</f>
        <v/>
      </c>
      <c r="G10" s="119">
        <f>IF(R10="","",R10)</f>
        <v/>
      </c>
      <c r="H10" s="120" t="n"/>
      <c r="I10" s="113">
        <f>IF(T10="","",T10)</f>
        <v/>
      </c>
      <c r="J10" s="113">
        <f>IF(U10="","",U10)</f>
        <v/>
      </c>
      <c r="K10" s="113">
        <f>IF(V10="","",V10)</f>
        <v/>
      </c>
      <c r="L10" s="113">
        <f>IF(W10="","",W10)</f>
        <v/>
      </c>
      <c r="M10" s="121">
        <f>IF(X10="","",X10)</f>
        <v/>
      </c>
      <c r="P10" s="122" t="n"/>
      <c r="Q10" s="123" t="inlineStr">
        <is>
          <t>スポット型</t>
        </is>
      </c>
      <c r="R10" s="92" t="n"/>
      <c r="T10" s="92" t="n"/>
      <c r="U10" s="92" t="n"/>
      <c r="V10" s="92" t="n"/>
      <c r="W10" s="124" t="n"/>
      <c r="X10" s="92" t="n"/>
    </row>
    <row r="11" ht="18.45" customHeight="1">
      <c r="B11" s="112">
        <f>IF(P10="","","型 式 番 号   感  第")</f>
        <v/>
      </c>
      <c r="E11" s="125">
        <f>IF(P10="","",TEXT(R11,"##")&amp;"～"&amp;TEXT(T11,"##")&amp;"号")</f>
        <v/>
      </c>
      <c r="G11" s="126">
        <f>IF(P10="","","製造会社名")</f>
        <v/>
      </c>
      <c r="I11" s="127">
        <f>IF(V11="","",V11)</f>
        <v/>
      </c>
      <c r="P11" s="128" t="n"/>
      <c r="Q11" s="129" t="n"/>
      <c r="R11" s="130" t="n"/>
      <c r="S11" s="112" t="inlineStr">
        <is>
          <t>～</t>
        </is>
      </c>
      <c r="T11" s="130" t="n"/>
      <c r="U11" s="112" t="n"/>
      <c r="V11" s="131" t="n"/>
    </row>
    <row r="12" ht="18.45" customHeight="1">
      <c r="B12" s="118">
        <f>IF(P12="","",P12&amp;" "&amp;Q12&amp;" "&amp;Q13)</f>
        <v/>
      </c>
      <c r="G12" s="119">
        <f>IF(R12="","",R12)</f>
        <v/>
      </c>
      <c r="H12" s="120" t="n"/>
      <c r="I12" s="113">
        <f>IF(T12="","",T12)</f>
        <v/>
      </c>
      <c r="J12" s="113">
        <f>IF(U12="","",U12)</f>
        <v/>
      </c>
      <c r="K12" s="113">
        <f>IF(V12="","",V12)</f>
        <v/>
      </c>
      <c r="L12" s="113">
        <f>IF(W12="","",W12)</f>
        <v/>
      </c>
      <c r="M12" s="121">
        <f>IF(X12="","",X12)</f>
        <v/>
      </c>
      <c r="P12" s="122" t="n"/>
      <c r="Q12" s="123" t="inlineStr">
        <is>
          <t>スポット型</t>
        </is>
      </c>
      <c r="R12" s="92" t="n"/>
      <c r="T12" s="92" t="n"/>
      <c r="U12" s="92" t="n"/>
      <c r="V12" s="92" t="n"/>
      <c r="W12" s="124" t="n"/>
      <c r="X12" s="92" t="n"/>
    </row>
    <row r="13" ht="18.45" customHeight="1">
      <c r="B13" s="112">
        <f>IF(P12="","","型 式 番 号   感  第")</f>
        <v/>
      </c>
      <c r="E13" s="125">
        <f>IF(P12="","",TEXT(R13,"##")&amp;"～"&amp;TEXT(T13,"##")&amp;"号")</f>
        <v/>
      </c>
      <c r="G13" s="126">
        <f>IF(P12="","","製造会社名")</f>
        <v/>
      </c>
      <c r="I13" s="127">
        <f>IF(V13="","",V13)</f>
        <v/>
      </c>
      <c r="P13" s="128" t="n"/>
      <c r="Q13" s="129" t="n"/>
      <c r="R13" s="130" t="n"/>
      <c r="S13" s="112" t="inlineStr">
        <is>
          <t>～</t>
        </is>
      </c>
      <c r="T13" s="130" t="n"/>
      <c r="U13" s="112" t="n"/>
      <c r="V13" s="131" t="n"/>
    </row>
    <row r="14" ht="18.45" customHeight="1">
      <c r="B14" s="118">
        <f>IF(P14="","",P14&amp;" "&amp;Q14&amp;" "&amp;Q15)</f>
        <v/>
      </c>
      <c r="G14" s="119">
        <f>IF(R14="","",R14)</f>
        <v/>
      </c>
      <c r="H14" s="120" t="n"/>
      <c r="I14" s="113">
        <f>IF(T14="","",T14)</f>
        <v/>
      </c>
      <c r="J14" s="113">
        <f>IF(U14="","",U14)</f>
        <v/>
      </c>
      <c r="K14" s="113">
        <f>IF(V14="","",V14)</f>
        <v/>
      </c>
      <c r="L14" s="113">
        <f>IF(W14="","",W14)</f>
        <v/>
      </c>
      <c r="M14" s="121">
        <f>IF(X14="","",X14)</f>
        <v/>
      </c>
      <c r="P14" s="122" t="n"/>
      <c r="Q14" s="123" t="inlineStr">
        <is>
          <t>スポット型</t>
        </is>
      </c>
      <c r="R14" s="92" t="n"/>
      <c r="T14" s="92" t="n"/>
      <c r="U14" s="92" t="n"/>
      <c r="V14" s="92" t="n"/>
      <c r="W14" s="124" t="n"/>
      <c r="X14" s="92" t="n"/>
    </row>
    <row r="15" ht="18.45" customHeight="1">
      <c r="B15" s="112">
        <f>IF(P14="","","型 式 番 号   感  第")</f>
        <v/>
      </c>
      <c r="E15" s="125">
        <f>IF(P14="","",TEXT(R15,"##")&amp;"～"&amp;TEXT(T15,"##")&amp;"号")</f>
        <v/>
      </c>
      <c r="G15" s="126">
        <f>IF(P14="","","製造会社名")</f>
        <v/>
      </c>
      <c r="I15" s="127">
        <f>IF(V15="","",V15)</f>
        <v/>
      </c>
      <c r="P15" s="128" t="n"/>
      <c r="Q15" s="129" t="n"/>
      <c r="R15" s="130" t="n"/>
      <c r="S15" s="112" t="inlineStr">
        <is>
          <t>～</t>
        </is>
      </c>
      <c r="T15" s="130" t="n"/>
      <c r="U15" s="112" t="n"/>
      <c r="V15" s="131" t="n"/>
    </row>
    <row r="16" ht="18.45" customHeight="1">
      <c r="B16" s="118">
        <f>IF(P16="","",P16&amp;" "&amp;Q16&amp;" "&amp;Q17)</f>
        <v/>
      </c>
      <c r="G16" s="119">
        <f>IF(R16="","",R16)</f>
        <v/>
      </c>
      <c r="H16" s="120" t="n"/>
      <c r="I16" s="113">
        <f>IF(T16="","",T16)</f>
        <v/>
      </c>
      <c r="J16" s="113">
        <f>IF(U16="","",U16)</f>
        <v/>
      </c>
      <c r="K16" s="113">
        <f>IF(V16="","",V16)</f>
        <v/>
      </c>
      <c r="L16" s="113">
        <f>IF(W16="","",W16)</f>
        <v/>
      </c>
      <c r="M16" s="121">
        <f>IF(X16="","",X16)</f>
        <v/>
      </c>
      <c r="P16" s="122" t="n"/>
      <c r="Q16" s="123" t="inlineStr">
        <is>
          <t>スポット型</t>
        </is>
      </c>
      <c r="R16" s="92" t="n"/>
      <c r="T16" s="92" t="n"/>
      <c r="U16" s="92" t="n"/>
      <c r="V16" s="92" t="n"/>
      <c r="W16" s="124" t="n"/>
      <c r="X16" s="92" t="n"/>
    </row>
    <row r="17" ht="18.45" customHeight="1">
      <c r="B17" s="112">
        <f>IF(P16="","","型 式 番 号   感  第")</f>
        <v/>
      </c>
      <c r="E17" s="125">
        <f>IF(P16="","",TEXT(R17,"##")&amp;"～"&amp;TEXT(T17,"##")&amp;"号")</f>
        <v/>
      </c>
      <c r="G17" s="126">
        <f>IF(P16="","","製造会社名")</f>
        <v/>
      </c>
      <c r="I17" s="127">
        <f>IF(V17="","",V17)</f>
        <v/>
      </c>
      <c r="P17" s="128" t="n"/>
      <c r="Q17" s="129" t="n"/>
      <c r="R17" s="130" t="n"/>
      <c r="S17" s="112" t="inlineStr">
        <is>
          <t>～</t>
        </is>
      </c>
      <c r="T17" s="130" t="n"/>
      <c r="U17" s="112" t="n"/>
      <c r="V17" s="131" t="n"/>
    </row>
    <row r="18" ht="18.45" customHeight="1">
      <c r="B18" s="118">
        <f>IF(P18="","",P18&amp;" "&amp;Q18&amp;" "&amp;Q19)</f>
        <v/>
      </c>
      <c r="G18" s="119">
        <f>IF(R18="","",R18)</f>
        <v/>
      </c>
      <c r="H18" s="120" t="n"/>
      <c r="I18" s="113">
        <f>IF(T18="","",T18)</f>
        <v/>
      </c>
      <c r="J18" s="113">
        <f>IF(U18="","",U18)</f>
        <v/>
      </c>
      <c r="K18" s="113">
        <f>IF(V18="","",V18)</f>
        <v/>
      </c>
      <c r="L18" s="113">
        <f>IF(W18="","",W18)</f>
        <v/>
      </c>
      <c r="M18" s="121">
        <f>IF(X18="","",X18)</f>
        <v/>
      </c>
      <c r="P18" s="122" t="n"/>
      <c r="Q18" s="123" t="inlineStr">
        <is>
          <t>スポット型</t>
        </is>
      </c>
      <c r="R18" s="92" t="n"/>
      <c r="T18" s="92" t="n"/>
      <c r="U18" s="92" t="n"/>
      <c r="V18" s="92" t="n"/>
      <c r="W18" s="124" t="n"/>
      <c r="X18" s="92" t="n"/>
      <c r="Y18" s="75" t="n"/>
    </row>
    <row r="19" ht="18.45" customHeight="1">
      <c r="B19" s="112">
        <f>IF(P18="","","型 式 番 号   感  第")</f>
        <v/>
      </c>
      <c r="E19" s="125">
        <f>IF(P18="","",TEXT(R19,"##")&amp;"～"&amp;TEXT(T19,"##")&amp;"号")</f>
        <v/>
      </c>
      <c r="G19" s="126">
        <f>IF(P18="","","製造会社名")</f>
        <v/>
      </c>
      <c r="I19" s="127">
        <f>IF(V19="","",V19)</f>
        <v/>
      </c>
      <c r="P19" s="128" t="n"/>
      <c r="Q19" s="129" t="n"/>
      <c r="R19" s="130" t="n"/>
      <c r="S19" s="112" t="inlineStr">
        <is>
          <t>～</t>
        </is>
      </c>
      <c r="T19" s="130" t="n"/>
      <c r="U19" s="112" t="n"/>
      <c r="V19" s="131" t="n"/>
      <c r="Y19" s="75" t="n"/>
    </row>
    <row r="20" ht="18.45" customHeight="1">
      <c r="B20" s="118">
        <f>IF(P20="","",P20&amp;" "&amp;Q20&amp;" "&amp;Q21)</f>
        <v/>
      </c>
      <c r="G20" s="119">
        <f>IF(R20="","",R20)</f>
        <v/>
      </c>
      <c r="H20" s="120" t="n"/>
      <c r="I20" s="113">
        <f>IF(T20="","",T20)</f>
        <v/>
      </c>
      <c r="J20" s="113">
        <f>IF(U20="","",U20)</f>
        <v/>
      </c>
      <c r="K20" s="113">
        <f>IF(V20="","",V20)</f>
        <v/>
      </c>
      <c r="L20" s="113">
        <f>IF(W20="","",W20)</f>
        <v/>
      </c>
      <c r="M20" s="121">
        <f>IF(X20="","",X20)</f>
        <v/>
      </c>
      <c r="P20" s="122" t="n"/>
      <c r="Q20" s="123" t="inlineStr">
        <is>
          <t>スポット型</t>
        </is>
      </c>
      <c r="R20" s="92" t="n"/>
      <c r="T20" s="92" t="n"/>
      <c r="U20" s="92" t="n"/>
      <c r="V20" s="92" t="n"/>
      <c r="W20" s="124" t="n"/>
      <c r="X20" s="92" t="n"/>
      <c r="Y20" s="75" t="n"/>
    </row>
    <row r="21" ht="18.45" customHeight="1">
      <c r="B21" s="112">
        <f>IF(P20="","","型 式 番 号   感  第")</f>
        <v/>
      </c>
      <c r="E21" s="125">
        <f>IF(P20="","",TEXT(R21,"##")&amp;"～"&amp;TEXT(T21,"##")&amp;"号")</f>
        <v/>
      </c>
      <c r="G21" s="126">
        <f>IF(P20="","","製造会社名")</f>
        <v/>
      </c>
      <c r="I21" s="127">
        <f>IF(V21="","",V21)</f>
        <v/>
      </c>
      <c r="P21" s="128" t="n"/>
      <c r="Q21" s="129" t="n"/>
      <c r="R21" s="130" t="n"/>
      <c r="S21" s="112" t="inlineStr">
        <is>
          <t>～</t>
        </is>
      </c>
      <c r="T21" s="130" t="n"/>
      <c r="U21" s="112" t="n"/>
      <c r="V21" s="131" t="n"/>
      <c r="Y21" s="75" t="n"/>
    </row>
    <row r="22" ht="18.45" customHeight="1">
      <c r="B22" s="134">
        <f>IF(P22="","",P22&amp;" "&amp;Q22&amp;" "&amp;Q23)</f>
        <v/>
      </c>
      <c r="G22" s="135">
        <f>IF(R22="","",R22)</f>
        <v/>
      </c>
      <c r="H22" s="136" t="n"/>
      <c r="I22" s="113">
        <f>IF(T22="","",T22)</f>
        <v/>
      </c>
      <c r="J22" s="113">
        <f>IF(U22="","",U22)</f>
        <v/>
      </c>
      <c r="K22" s="113">
        <f>IF(V22="","",V22)</f>
        <v/>
      </c>
      <c r="L22" s="113">
        <f>IF(W22="","",W22)</f>
        <v/>
      </c>
      <c r="M22" s="121">
        <f>IF(X22="","",X22)</f>
        <v/>
      </c>
      <c r="P22" s="122" t="n"/>
      <c r="Q22" s="123" t="inlineStr">
        <is>
          <t>スポット型</t>
        </is>
      </c>
      <c r="R22" s="92" t="n"/>
      <c r="T22" s="92" t="n"/>
      <c r="U22" s="92" t="n"/>
      <c r="V22" s="92" t="n"/>
      <c r="W22" s="124" t="n"/>
      <c r="X22" s="92" t="n"/>
      <c r="Y22" s="75" t="n"/>
    </row>
    <row r="23" ht="18.45" customHeight="1">
      <c r="B23" s="78">
        <f>IF(P22="","","型 式 番 号   感  第")</f>
        <v/>
      </c>
      <c r="E23" s="137">
        <f>IF(P22="","",TEXT(R23,"##")&amp;"～"&amp;TEXT(T23,"##")&amp;"号")</f>
        <v/>
      </c>
      <c r="G23" s="138">
        <f>IF(P22="","","製造会社名")</f>
        <v/>
      </c>
      <c r="I23" s="139">
        <f>IF(V23="","",V23)</f>
        <v/>
      </c>
      <c r="P23" s="128" t="n"/>
      <c r="Q23" s="129" t="n"/>
      <c r="R23" s="130" t="n"/>
      <c r="S23" s="112" t="inlineStr">
        <is>
          <t>～</t>
        </is>
      </c>
      <c r="T23" s="130" t="n"/>
      <c r="U23" s="112" t="n"/>
      <c r="V23" s="131" t="n"/>
      <c r="Y23" s="75" t="n"/>
    </row>
    <row r="24" ht="18.45" customHeight="1">
      <c r="A24" s="114" t="inlineStr">
        <is>
          <t>発　信　機</t>
        </is>
      </c>
      <c r="C24" s="56" t="inlineStr">
        <is>
          <t>屋内型</t>
        </is>
      </c>
      <c r="D24" s="140">
        <f>TEXT(P24,)&amp;"型"</f>
        <v/>
      </c>
      <c r="E24" s="140">
        <f>TEXT(R24,"＃＃")&amp;"級"</f>
        <v/>
      </c>
      <c r="F24" s="141">
        <f>TEXT(T24,"＃＃")&amp;"個"</f>
        <v/>
      </c>
      <c r="G24" s="142">
        <f>IF(W24="","型式番号　発第　号","型式番号　発第"&amp;W24&amp;"号")</f>
        <v/>
      </c>
      <c r="J24" s="143" t="inlineStr">
        <is>
          <t>製造会社名</t>
        </is>
      </c>
      <c r="L24" s="144">
        <f>IF(Z24="","",Z24)</f>
        <v/>
      </c>
      <c r="O24" s="145" t="inlineStr">
        <is>
          <t>屋内型</t>
        </is>
      </c>
      <c r="P24" s="146" t="n"/>
      <c r="Q24" s="147" t="inlineStr">
        <is>
          <t>型</t>
        </is>
      </c>
      <c r="R24" s="148">
        <f>IF(P24="","","1")</f>
        <v/>
      </c>
      <c r="S24" s="149" t="inlineStr">
        <is>
          <t>級</t>
        </is>
      </c>
      <c r="T24" s="150" t="n"/>
      <c r="U24" s="147" t="inlineStr">
        <is>
          <t>個</t>
        </is>
      </c>
      <c r="V24" s="151" t="inlineStr">
        <is>
          <t>発第</t>
        </is>
      </c>
      <c r="W24" s="152" t="n"/>
      <c r="X24" s="153" t="inlineStr">
        <is>
          <t>製造会社名</t>
        </is>
      </c>
      <c r="Y24" s="151" t="n"/>
      <c r="Z24" s="154" t="n"/>
    </row>
    <row r="25" ht="18.45" customHeight="1">
      <c r="C25" s="5" t="inlineStr">
        <is>
          <t>屋外型</t>
        </is>
      </c>
      <c r="D25" s="155">
        <f>TEXT(P25,)&amp;"型"</f>
        <v/>
      </c>
      <c r="E25" s="155">
        <f>TEXT(R25,"＃＃")&amp;"級"</f>
        <v/>
      </c>
      <c r="F25" s="7">
        <f>TEXT(T25,"＃＃")&amp;"個"</f>
        <v/>
      </c>
      <c r="G25" s="156">
        <f>IF(W25="","型式番号　発第　号","型式番号　発第"&amp;W25&amp;"号")</f>
        <v/>
      </c>
      <c r="J25" s="157" t="inlineStr">
        <is>
          <t>製造会社名</t>
        </is>
      </c>
      <c r="L25" s="144">
        <f>IF(Z25="","",Z25)</f>
        <v/>
      </c>
      <c r="O25" s="145" t="inlineStr">
        <is>
          <t>屋外型</t>
        </is>
      </c>
      <c r="P25" s="146" t="n"/>
      <c r="Q25" s="147" t="inlineStr">
        <is>
          <t>型</t>
        </is>
      </c>
      <c r="R25" s="148" t="n"/>
      <c r="S25" s="149" t="inlineStr">
        <is>
          <t>級</t>
        </is>
      </c>
      <c r="T25" s="150" t="n"/>
      <c r="U25" s="147" t="inlineStr">
        <is>
          <t>個</t>
        </is>
      </c>
      <c r="V25" s="151" t="inlineStr">
        <is>
          <t>発第</t>
        </is>
      </c>
      <c r="W25" s="158" t="n"/>
      <c r="X25" s="159" t="inlineStr">
        <is>
          <t>製造会社名</t>
        </is>
      </c>
      <c r="Y25" s="160" t="n"/>
      <c r="Z25" s="161" t="n"/>
    </row>
    <row r="26" ht="18.45" customHeight="1">
      <c r="A26" s="78" t="inlineStr">
        <is>
          <t>表　示　灯</t>
        </is>
      </c>
      <c r="C26" s="162">
        <f>"DC(AC)　"&amp;TEXT(P26,"##")&amp;"V　"&amp;TEXT(R26,"##")&amp;"ｍA　"&amp;TEXT(T26,"##")&amp;"個"</f>
        <v/>
      </c>
      <c r="D26" s="163" t="n"/>
      <c r="E26" s="163" t="n"/>
      <c r="F26" s="163" t="n"/>
      <c r="G26" s="163" t="n"/>
      <c r="H26" s="163" t="n"/>
      <c r="I26" s="164" t="n"/>
      <c r="J26" s="149" t="n"/>
      <c r="K26" s="149" t="n"/>
      <c r="L26" s="165" t="n"/>
      <c r="M26" s="101" t="n"/>
      <c r="O26" s="123" t="inlineStr">
        <is>
          <t>表示灯</t>
        </is>
      </c>
      <c r="P26" s="166" t="n"/>
      <c r="Q26" s="101" t="inlineStr">
        <is>
          <t>V</t>
        </is>
      </c>
      <c r="R26" s="100">
        <f>IF(P26="","","9")</f>
        <v/>
      </c>
      <c r="S26" s="100" t="inlineStr">
        <is>
          <t>ｍA</t>
        </is>
      </c>
      <c r="T26" s="167" t="n"/>
      <c r="U26" s="101" t="inlineStr">
        <is>
          <t>個</t>
        </is>
      </c>
      <c r="W26" s="168" t="n"/>
    </row>
    <row r="27" ht="18.45" customHeight="1">
      <c r="A27" s="93" t="inlineStr">
        <is>
          <t>中　　継　　器</t>
        </is>
      </c>
      <c r="B27" s="62" t="inlineStr">
        <is>
          <t>種　　　　　別</t>
        </is>
      </c>
      <c r="G27" s="169" t="inlineStr">
        <is>
          <t>回線数</t>
        </is>
      </c>
      <c r="H27" s="62" t="inlineStr">
        <is>
          <t>電　源　供　給　方　式</t>
        </is>
      </c>
      <c r="M27" s="169" t="inlineStr">
        <is>
          <t>設置台数</t>
        </is>
      </c>
      <c r="P27" s="15" t="n">
        <v>24</v>
      </c>
      <c r="R27" s="15" t="inlineStr">
        <is>
          <t>pana9mA</t>
        </is>
      </c>
    </row>
    <row r="28" ht="18.45" customHeight="1">
      <c r="B28" s="170" t="inlineStr">
        <is>
          <t>自動･遠隔･アナログ･その他（型式番号　　中第　　　号）</t>
        </is>
      </c>
      <c r="G28" s="171" t="n"/>
      <c r="H28" s="170" t="inlineStr">
        <is>
          <t>専用（予備電源　 Ｖ 　AH）･受信機･その他（　　）</t>
        </is>
      </c>
      <c r="M28" s="78" t="inlineStr">
        <is>
          <t> </t>
        </is>
      </c>
    </row>
    <row r="29" ht="18.45" customHeight="1">
      <c r="B29" s="170" t="inlineStr">
        <is>
          <t>自動･遠隔･アナログ･その他（型式番号　　中第　　　号）</t>
        </is>
      </c>
      <c r="G29" s="172" t="n"/>
      <c r="H29" s="170" t="inlineStr">
        <is>
          <t>専用（予備電源　 Ｖ 　AH）･受信機･その他（　　）</t>
        </is>
      </c>
      <c r="M29" s="173" t="n"/>
    </row>
    <row r="30" ht="18.45" customHeight="1">
      <c r="B30" s="170" t="inlineStr">
        <is>
          <t>自動･遠隔･アナログ･その他（型式番号　　中第　　　号）</t>
        </is>
      </c>
      <c r="G30" s="172" t="n"/>
      <c r="H30" s="170" t="inlineStr">
        <is>
          <t>専用（予備電源　 Ｖ 　AH）･受信機･その他（　　）</t>
        </is>
      </c>
      <c r="M30" s="145" t="n"/>
      <c r="R30" s="75" t="n"/>
    </row>
    <row r="31" ht="18.45" customHeight="1">
      <c r="B31" s="170" t="inlineStr">
        <is>
          <t>自動･遠隔･アナログ･その他（型式番号　　中第　　　号）</t>
        </is>
      </c>
      <c r="G31" s="172" t="n"/>
      <c r="H31" s="170" t="inlineStr">
        <is>
          <t>専用（予備電源　 Ｖ 　AH）･受信機･その他（　　）</t>
        </is>
      </c>
      <c r="M31" s="145" t="n"/>
    </row>
    <row r="32" ht="18.45" customHeight="1">
      <c r="B32" s="170" t="inlineStr">
        <is>
          <t>自動･遠隔･アナログ･その他（型式番号　　中第　　　号）</t>
        </is>
      </c>
      <c r="G32" s="172" t="n"/>
      <c r="H32" s="170" t="inlineStr">
        <is>
          <t>専用（予備電源　 Ｖ 　AH）･受信機･その他（　　）</t>
        </is>
      </c>
      <c r="M32" s="145" t="n"/>
    </row>
    <row r="33" ht="18.45" customHeight="1">
      <c r="B33" s="170" t="inlineStr">
        <is>
          <t>自動･遠隔･アナログ･その他（型式番号　　中第　　　号）</t>
        </is>
      </c>
      <c r="G33" s="172" t="n"/>
      <c r="H33" s="170" t="inlineStr">
        <is>
          <t>専用（予備電源　 Ｖ 　AH）･受信機･その他（　　）</t>
        </is>
      </c>
      <c r="M33" s="145" t="n"/>
    </row>
    <row r="34" ht="18.45" customHeight="1">
      <c r="B34" s="170" t="inlineStr">
        <is>
          <t>自動･遠隔･アナログ･その他（型式番号　　中第　　　号）</t>
        </is>
      </c>
      <c r="G34" s="172" t="n"/>
      <c r="H34" s="170" t="inlineStr">
        <is>
          <t>専用（予備電源　 Ｖ 　AH）･受信機･その他（　　）</t>
        </is>
      </c>
      <c r="M34" s="145" t="n"/>
    </row>
    <row r="35" ht="18.45" customHeight="1">
      <c r="B35" s="170" t="inlineStr">
        <is>
          <t>自動･遠隔･アナログ･その他（型式番号　　中第　　　号）</t>
        </is>
      </c>
      <c r="G35" s="172" t="n"/>
      <c r="H35" s="170" t="inlineStr">
        <is>
          <t>専用（予備電源　 Ｖ 　AH）･受信機･その他（　　）</t>
        </is>
      </c>
      <c r="M35" s="145" t="n"/>
    </row>
    <row r="36" ht="18.45" customHeight="1">
      <c r="B36" s="170" t="inlineStr">
        <is>
          <t>自動･遠隔･アナログ･その他（型式番号　　中第　　　号）</t>
        </is>
      </c>
      <c r="G36" s="172" t="n"/>
      <c r="H36" s="170" t="inlineStr">
        <is>
          <t>専用（予備電源　 Ｖ 　AH）･受信機･その他（　　）</t>
        </is>
      </c>
      <c r="M36" s="145" t="n"/>
    </row>
    <row r="37" ht="18.45" customHeight="1">
      <c r="B37" s="170" t="inlineStr">
        <is>
          <t>自動･遠隔･アナログ･その他（型式番号　　中第　　　号）</t>
        </is>
      </c>
      <c r="G37" s="172" t="n"/>
      <c r="H37" s="170" t="inlineStr">
        <is>
          <t>専用（予備電源　 Ｖ 　AH）･受信機･その他（　　）</t>
        </is>
      </c>
      <c r="M37" s="145" t="n"/>
    </row>
    <row r="38" ht="18.45" customHeight="1">
      <c r="B38" s="78" t="inlineStr">
        <is>
          <t>製　　造　　会　　社　　名</t>
        </is>
      </c>
      <c r="G38" s="139">
        <f>IF(R38="","",R38)</f>
        <v/>
      </c>
      <c r="P38" s="174" t="inlineStr">
        <is>
          <t>製造会社名</t>
        </is>
      </c>
      <c r="Q38" s="147" t="n"/>
      <c r="R38" s="78" t="n"/>
    </row>
    <row r="39">
      <c r="A39" s="75" t="n"/>
    </row>
    <row r="40">
      <c r="A40" s="75" t="n"/>
    </row>
  </sheetData>
  <mergeCells count="108">
    <mergeCell ref="B11:D11"/>
    <mergeCell ref="G21:H21"/>
    <mergeCell ref="B16:F16"/>
    <mergeCell ref="E23:F23"/>
    <mergeCell ref="G23:H23"/>
    <mergeCell ref="B18:F18"/>
    <mergeCell ref="B27:F27"/>
    <mergeCell ref="G24:I24"/>
    <mergeCell ref="R6:S6"/>
    <mergeCell ref="B3:H3"/>
    <mergeCell ref="R12:S12"/>
    <mergeCell ref="B34:F34"/>
    <mergeCell ref="B28:F28"/>
    <mergeCell ref="B37:F37"/>
    <mergeCell ref="G38:M38"/>
    <mergeCell ref="V21:X21"/>
    <mergeCell ref="I17:M17"/>
    <mergeCell ref="B30:F30"/>
    <mergeCell ref="R38:T38"/>
    <mergeCell ref="B6:F6"/>
    <mergeCell ref="B20:F20"/>
    <mergeCell ref="V23:X23"/>
    <mergeCell ref="I19:M19"/>
    <mergeCell ref="V13:X13"/>
    <mergeCell ref="R18:S18"/>
    <mergeCell ref="R8:S8"/>
    <mergeCell ref="I9:M9"/>
    <mergeCell ref="H29:L29"/>
    <mergeCell ref="P2:X2"/>
    <mergeCell ref="B17:D17"/>
    <mergeCell ref="E5:F5"/>
    <mergeCell ref="R10:S10"/>
    <mergeCell ref="I11:M11"/>
    <mergeCell ref="H31:L31"/>
    <mergeCell ref="B19:D19"/>
    <mergeCell ref="R16:S16"/>
    <mergeCell ref="G7:H7"/>
    <mergeCell ref="B9:D9"/>
    <mergeCell ref="B8:F8"/>
    <mergeCell ref="A26:B26"/>
    <mergeCell ref="B5:D5"/>
    <mergeCell ref="I21:M21"/>
    <mergeCell ref="B10:F10"/>
    <mergeCell ref="I23:M23"/>
    <mergeCell ref="V17:X17"/>
    <mergeCell ref="A24:B25"/>
    <mergeCell ref="V5:X5"/>
    <mergeCell ref="B21:D21"/>
    <mergeCell ref="R14:S14"/>
    <mergeCell ref="G9:H9"/>
    <mergeCell ref="B4:F4"/>
    <mergeCell ref="H30:L30"/>
    <mergeCell ref="B23:D23"/>
    <mergeCell ref="G11:H11"/>
    <mergeCell ref="B13:D13"/>
    <mergeCell ref="B31:F31"/>
    <mergeCell ref="V15:X15"/>
    <mergeCell ref="J24:K24"/>
    <mergeCell ref="L24:M24"/>
    <mergeCell ref="E13:F13"/>
    <mergeCell ref="G13:H13"/>
    <mergeCell ref="V7:X7"/>
    <mergeCell ref="E15:F15"/>
    <mergeCell ref="R20:S20"/>
    <mergeCell ref="G15:H15"/>
    <mergeCell ref="H32:L32"/>
    <mergeCell ref="J25:K25"/>
    <mergeCell ref="L25:M25"/>
    <mergeCell ref="A3:A23"/>
    <mergeCell ref="I5:M5"/>
    <mergeCell ref="R22:S22"/>
    <mergeCell ref="H27:L27"/>
    <mergeCell ref="E7:F7"/>
    <mergeCell ref="H33:L33"/>
    <mergeCell ref="I13:M13"/>
    <mergeCell ref="B36:F36"/>
    <mergeCell ref="V19:X19"/>
    <mergeCell ref="H35:L35"/>
    <mergeCell ref="I15:M15"/>
    <mergeCell ref="V9:X9"/>
    <mergeCell ref="P3:S3"/>
    <mergeCell ref="B22:F22"/>
    <mergeCell ref="E17:F17"/>
    <mergeCell ref="R4:S4"/>
    <mergeCell ref="G17:H17"/>
    <mergeCell ref="H34:L34"/>
    <mergeCell ref="V11:X11"/>
    <mergeCell ref="B12:F12"/>
    <mergeCell ref="I7:M7"/>
    <mergeCell ref="E19:F19"/>
    <mergeCell ref="G19:H19"/>
    <mergeCell ref="H36:L36"/>
    <mergeCell ref="B14:F14"/>
    <mergeCell ref="B15:D15"/>
    <mergeCell ref="E9:F9"/>
    <mergeCell ref="G25:I25"/>
    <mergeCell ref="B29:F29"/>
    <mergeCell ref="B38:F38"/>
    <mergeCell ref="E11:F11"/>
    <mergeCell ref="G5:H5"/>
    <mergeCell ref="H28:L28"/>
    <mergeCell ref="H37:L37"/>
    <mergeCell ref="B7:D7"/>
    <mergeCell ref="A27:A38"/>
    <mergeCell ref="B33:F33"/>
    <mergeCell ref="B32:F32"/>
    <mergeCell ref="E21:F21"/>
    <mergeCell ref="B35:F35"/>
  </mergeCells>
  <dataValidations count="7">
    <dataValidation sqref="N1" showDropDown="0" showInputMessage="1" showErrorMessage="1" allowBlank="1" type="list">
      <formula1>"パナソニック㈱,ニッタン,能美防災,ホーチキ"</formula1>
    </dataValidation>
    <dataValidation sqref="P4 P6 P8 P10 P12 P14 P16 P18 P20 P22" showDropDown="0" showInputMessage="1" showErrorMessage="1" allowBlank="1" type="list">
      <formula1>$AB$2:$AB$4</formula1>
    </dataValidation>
    <dataValidation sqref="W4 W6 W8 W10 W12 W14 W16 W18 W20 W22" showDropDown="0" showInputMessage="1" showErrorMessage="1" allowBlank="1" type="list">
      <formula1>$AF$2:$AF$5</formula1>
    </dataValidation>
    <dataValidation sqref="R38:T38 V5:X5 V7:X7 V9:X9 V11:X11 V13:X13 V15:X15 V17:X17 V19:X19 V21:X21 V23:X23 Z24:Z25" showDropDown="0" showInputMessage="1" showErrorMessage="1" allowBlank="1" type="list">
      <formula1>$AG$2:$AG$5</formula1>
    </dataValidation>
    <dataValidation sqref="T4:V4 T6:V6 T8:V8 T10:V10 T12:V12 T14:V14 T16:V16 T18:V18 T20:V20 T22:V22" showDropDown="0" showInputMessage="1" showErrorMessage="1" allowBlank="1" type="list">
      <formula1>$AE$2:$AE$3</formula1>
    </dataValidation>
    <dataValidation sqref="R4:S4 R6:S6 R8:S8 R10:S10 R12:S12 R14:S14 R16:S16 R18:S18 R20:S20 R22:S22" showDropDown="0" showInputMessage="1" showErrorMessage="1" allowBlank="1" type="list">
      <formula1>$AC$2:$AC$8</formula1>
    </dataValidation>
    <dataValidation sqref="Q5 Q7 Q9 Q11 Q13 Q15 Q17 Q19 Q21 Q23" showDropDown="0" showInputMessage="1" showErrorMessage="1" allowBlank="1" type="list">
      <formula1>$AI$2:$AI$8</formula1>
    </dataValidation>
  </dataValidations>
  <pageMargins left="0.7086614173228347" right="0.7086614173228347" top="0.7480314960629921" bottom="0.7480314960629921" header="0.3149606299212598" footer="0.3149606299212598"/>
  <pageSetup orientation="portrait" paperSize="9" fitToWidth="0"/>
</worksheet>
</file>

<file path=xl/worksheets/sheet4.xml><?xml version="1.0" encoding="utf-8"?>
<worksheet xmlns="http://schemas.openxmlformats.org/spreadsheetml/2006/main">
  <sheetPr>
    <tabColor theme="9"/>
    <outlinePr summaryBelow="1" summaryRight="1"/>
    <pageSetUpPr fitToPage="1"/>
  </sheetPr>
  <dimension ref="A1:AD46"/>
  <sheetViews>
    <sheetView workbookViewId="0">
      <selection activeCell="A1" sqref="A1"/>
    </sheetView>
  </sheetViews>
  <sheetFormatPr baseColWidth="8" defaultRowHeight="15"/>
  <cols>
    <col width="3.69921875" customWidth="1" min="1" max="1"/>
    <col width="6.19921875" customWidth="1" min="2" max="2"/>
    <col width="8.19921875" customWidth="1" min="6" max="6"/>
    <col width="6.19921875" customWidth="1" min="7" max="7"/>
    <col width="7.59765625" customWidth="1" min="15" max="15"/>
    <col width="6.19921875" customWidth="1" min="16" max="16"/>
    <col width="4" customWidth="1" min="17" max="17"/>
    <col width="5.69921875" customWidth="1" min="20" max="20"/>
    <col width="4" customWidth="1" min="21" max="21"/>
    <col width="6.19921875" customWidth="1" min="25" max="25"/>
    <col width="3.8984375" customWidth="1" min="26" max="26"/>
    <col width="6.19921875" customWidth="1" min="27" max="27"/>
  </cols>
  <sheetData>
    <row r="1" ht="17.4" customHeight="1">
      <c r="A1" s="15" t="inlineStr">
        <is>
          <t xml:space="preserve">別記様式５　</t>
        </is>
      </c>
      <c r="B1" s="15" t="n"/>
      <c r="C1" s="15" t="n"/>
      <c r="D1" s="15" t="n"/>
      <c r="E1" s="15" t="n"/>
      <c r="F1" s="15" t="n"/>
      <c r="G1" s="15" t="n"/>
      <c r="H1" s="15" t="n"/>
      <c r="I1" s="15" t="n"/>
      <c r="J1" s="15" t="n"/>
      <c r="K1" s="15" t="n"/>
      <c r="L1" s="15" t="n"/>
      <c r="M1" s="104" t="inlineStr">
        <is>
          <t>【共用部】</t>
        </is>
      </c>
    </row>
    <row r="2" ht="17.4" customHeight="1">
      <c r="A2" s="76" t="inlineStr">
        <is>
          <t>自 動 火 災 報 知 設 備 の 概 要 表</t>
        </is>
      </c>
      <c r="L2" s="107" t="n"/>
      <c r="M2" s="104" t="inlineStr">
        <is>
          <t>（その２）</t>
        </is>
      </c>
      <c r="P2" s="75" t="inlineStr">
        <is>
          <t>入力フォーム</t>
        </is>
      </c>
      <c r="AC2" s="175" t="inlineStr">
        <is>
          <t>認評音第</t>
        </is>
      </c>
      <c r="AD2" s="176" t="n"/>
    </row>
    <row r="3" ht="17.4" customHeight="1">
      <c r="A3" s="177" t="inlineStr">
        <is>
          <t>受　信　機</t>
        </is>
      </c>
      <c r="B3" s="178" t="inlineStr">
        <is>
          <t>蓄積式・二信号式・アナログ式・自動試験機能付き・遠隔試験機能付き・その他（　　　　　　　　）</t>
        </is>
      </c>
      <c r="O3" s="78" t="inlineStr">
        <is>
          <t>P・GP</t>
        </is>
      </c>
      <c r="Q3" s="150" t="inlineStr">
        <is>
          <t> </t>
        </is>
      </c>
      <c r="R3" s="147" t="inlineStr">
        <is>
          <t>級</t>
        </is>
      </c>
      <c r="S3" s="78" t="inlineStr">
        <is>
          <t>回線</t>
        </is>
      </c>
      <c r="U3" s="179" t="inlineStr">
        <is>
          <t>/</t>
        </is>
      </c>
      <c r="W3" s="180" t="inlineStr">
        <is>
          <t>自火報点数</t>
        </is>
      </c>
      <c r="Z3" s="181" t="n">
        <v>2</v>
      </c>
      <c r="AA3" s="182" t="inlineStr">
        <is>
          <t>点</t>
        </is>
      </c>
      <c r="AC3" s="183" t="inlineStr">
        <is>
          <t>認評放第</t>
        </is>
      </c>
      <c r="AD3" s="184" t="n"/>
    </row>
    <row r="4" ht="17.4" customHeight="1">
      <c r="B4" s="178">
        <f>"Ｐ･GP型"&amp;Q3&amp;"級 "&amp;U3&amp;" 回線 "&amp;" Ｒ･GR型　自火報点数　"&amp;Z3&amp;"点　その他（　 　）点数　点　予備点数　点"</f>
        <v/>
      </c>
      <c r="O4" s="78" t="inlineStr">
        <is>
          <t>台数</t>
        </is>
      </c>
      <c r="Q4" s="185" t="n">
        <v>1</v>
      </c>
      <c r="R4" s="96" t="inlineStr">
        <is>
          <t>台</t>
        </is>
      </c>
      <c r="S4" s="15" t="n"/>
      <c r="T4" s="15" t="n"/>
      <c r="U4" s="15" t="n"/>
      <c r="V4" s="15" t="n"/>
    </row>
    <row r="5" ht="17.4" customHeight="1">
      <c r="B5" s="178">
        <f>IF(R5="","予備電源（DC     Ｖ　　AH）","予備電源（DC "&amp;R5&amp;"V  " &amp;T5&amp;"AH）")</f>
        <v/>
      </c>
      <c r="F5" s="186" t="inlineStr">
        <is>
          <t>設置場所</t>
        </is>
      </c>
      <c r="H5" s="187">
        <f>IF(Y5="","",Y5)</f>
        <v/>
      </c>
      <c r="O5" s="78" t="inlineStr">
        <is>
          <t>予備電源</t>
        </is>
      </c>
      <c r="Q5" s="188" t="inlineStr">
        <is>
          <t>DC</t>
        </is>
      </c>
      <c r="R5" s="189" t="n">
        <v>24</v>
      </c>
      <c r="S5" s="136" t="inlineStr">
        <is>
          <t>V</t>
        </is>
      </c>
      <c r="T5" s="190" t="n">
        <v>3.5</v>
      </c>
      <c r="U5" s="136" t="inlineStr">
        <is>
          <t>Ah</t>
        </is>
      </c>
      <c r="V5" s="15" t="n"/>
      <c r="W5" s="153" t="inlineStr">
        <is>
          <t>設置場所</t>
        </is>
      </c>
      <c r="X5" s="151" t="n"/>
      <c r="Y5" s="191" t="inlineStr">
        <is>
          <t>管理人室</t>
        </is>
      </c>
      <c r="AC5" s="75" t="inlineStr">
        <is>
          <t>統合盤点数は警戒区域数？</t>
        </is>
      </c>
    </row>
    <row r="6" ht="17.4" customHeight="1">
      <c r="B6" s="192" t="inlineStr">
        <is>
          <t>型式番号</t>
        </is>
      </c>
      <c r="C6" s="193">
        <f>"受第"&amp;TEXT(Q6,"##")&amp;"～"&amp;TEXT(T6,"##")&amp;"号"</f>
        <v/>
      </c>
      <c r="F6" s="194" t="inlineStr">
        <is>
          <t>製造会社名</t>
        </is>
      </c>
      <c r="H6" s="187">
        <f>IF(Y6="","",Y6)</f>
        <v/>
      </c>
      <c r="O6" s="78" t="inlineStr">
        <is>
          <t>型式番号</t>
        </is>
      </c>
      <c r="Q6" s="195" t="n">
        <v>2020</v>
      </c>
      <c r="S6" s="149" t="inlineStr">
        <is>
          <t>～</t>
        </is>
      </c>
      <c r="T6" s="196" t="inlineStr">
        <is>
          <t>6～1</t>
        </is>
      </c>
      <c r="V6" s="147" t="inlineStr">
        <is>
          <t>号</t>
        </is>
      </c>
      <c r="W6" s="153" t="inlineStr">
        <is>
          <t>会社名</t>
        </is>
      </c>
      <c r="X6" s="151" t="n"/>
      <c r="Y6" s="154" t="inlineStr">
        <is>
          <t>パナソニック㈱</t>
        </is>
      </c>
    </row>
    <row r="7" ht="17.4" customHeight="1">
      <c r="A7" s="186" t="inlineStr">
        <is>
          <t>表示器</t>
        </is>
      </c>
      <c r="C7" s="178" t="inlineStr">
        <is>
          <t xml:space="preserve">　　／　　　 回線   　　台　自火報点数　　 点　その他点数　　 点　予備点数　　 点</t>
        </is>
      </c>
      <c r="Y7" s="75" t="n"/>
      <c r="Z7" s="75" t="n"/>
      <c r="AA7" s="75" t="n"/>
    </row>
    <row r="8" ht="17.4" customHeight="1">
      <c r="C8" s="197" t="inlineStr">
        <is>
          <t xml:space="preserve">　　／　　　 回線   　　台　自火報点数　　 点　その他点数　　 点　予備点数　　 点</t>
        </is>
      </c>
    </row>
    <row r="9" ht="17.4" customHeight="1">
      <c r="A9" s="198" t="inlineStr">
        <is>
          <t>電　　源</t>
        </is>
      </c>
      <c r="B9" s="199" t="inlineStr">
        <is>
          <t>常用電源</t>
        </is>
      </c>
      <c r="D9" s="197" t="inlineStr">
        <is>
          <t>単相・三相　AC　100 Ｖ　非常電源専用受電設備回路・電灯回路・動力回路</t>
        </is>
      </c>
    </row>
    <row r="10" ht="17.4" customHeight="1">
      <c r="D10" s="178" t="inlineStr">
        <is>
          <t>DC　　　Ｖ　　　AH　充電方式（トリクル・浮動）　使用別（専用・共用（　　　））</t>
        </is>
      </c>
    </row>
    <row r="11" ht="17.4" customHeight="1">
      <c r="B11" s="186" t="inlineStr">
        <is>
          <t>非常電源</t>
        </is>
      </c>
      <c r="D11" s="178" t="inlineStr">
        <is>
          <t>非常電源専用受電設備　単相・三相　AC　　　Ｖ</t>
        </is>
      </c>
      <c r="N11" s="200" t="n"/>
      <c r="O11" s="200" t="n"/>
      <c r="P11" s="200" t="n"/>
    </row>
    <row r="12" ht="17.4" customHeight="1">
      <c r="D12" s="187" t="inlineStr">
        <is>
          <t>蓄電池設備　DC　Ｖ　AH　充電方式（トリクル・浮動）　使用別（専用・共用（　　　））</t>
        </is>
      </c>
      <c r="N12" s="200" t="n"/>
      <c r="O12" s="201" t="n"/>
      <c r="P12" s="201" t="n"/>
      <c r="Q12" s="201" t="n"/>
      <c r="R12" s="201" t="n"/>
      <c r="S12" s="201" t="n"/>
      <c r="T12" s="201" t="n"/>
      <c r="U12" s="201" t="n"/>
      <c r="V12" s="201" t="n"/>
      <c r="W12" s="201" t="n"/>
      <c r="X12" s="201" t="n"/>
    </row>
    <row r="13" ht="17.4" customHeight="1">
      <c r="A13" s="93" t="inlineStr">
        <is>
          <t>音　　響　　装　　置</t>
        </is>
      </c>
      <c r="B13" s="202" t="inlineStr">
        <is>
          <t>主音響装置
（内蔵されている物は除く）</t>
        </is>
      </c>
      <c r="D13" s="203" t="inlineStr">
        <is>
          <t>ベル・サイレン・電子ブザー・音声合成・その他（　　　　　　　　　　　　　　　）</t>
        </is>
      </c>
      <c r="E13" s="203" t="n"/>
      <c r="F13" s="203" t="n"/>
      <c r="G13" s="203" t="n"/>
      <c r="H13" s="203" t="n"/>
      <c r="I13" s="203" t="n"/>
      <c r="J13" s="203" t="n"/>
      <c r="K13" s="203" t="n"/>
      <c r="L13" s="203" t="n"/>
      <c r="M13" s="203" t="n"/>
      <c r="N13" s="200" t="n"/>
      <c r="O13" s="204" t="inlineStr">
        <is>
          <t>鐘径</t>
        </is>
      </c>
      <c r="Q13" s="205" t="n"/>
      <c r="S13" s="206" t="inlineStr">
        <is>
          <t>ｍｍ</t>
        </is>
      </c>
      <c r="T13" s="206" t="n"/>
    </row>
    <row r="14" ht="17.4" customHeight="1">
      <c r="D14" s="178">
        <f>IF(Q13="","鐘径　　　　mm","鐘径　"&amp;Q13&amp;" mm")</f>
        <v/>
      </c>
      <c r="F14" s="178">
        <f>IF(Q14="","  定格　　DC　　Ｖ　　mA　　個　　dB","　　定格　DC "&amp;Q14&amp;"V  " &amp;S14&amp;"mA  "&amp;U14&amp;"個  "&amp;W14&amp;"dB")</f>
        <v/>
      </c>
      <c r="K14" s="207" t="n"/>
      <c r="N14" s="200" t="n"/>
      <c r="O14" s="208" t="inlineStr">
        <is>
          <t>定格</t>
        </is>
      </c>
      <c r="P14" s="151" t="inlineStr">
        <is>
          <t>DC</t>
        </is>
      </c>
      <c r="Q14" s="209" t="n"/>
      <c r="R14" s="151" t="inlineStr">
        <is>
          <t>V</t>
        </is>
      </c>
      <c r="S14" s="210" t="n"/>
      <c r="T14" s="182" t="inlineStr">
        <is>
          <t>mA</t>
        </is>
      </c>
      <c r="U14" s="211" t="n"/>
      <c r="V14" s="151" t="inlineStr">
        <is>
          <t>個</t>
        </is>
      </c>
      <c r="W14" s="212" t="n"/>
      <c r="X14" s="182" t="inlineStr">
        <is>
          <t>dB</t>
        </is>
      </c>
    </row>
    <row r="15" ht="17.4" customHeight="1">
      <c r="D15" s="213">
        <f>IF(COUNTA(Q15,S15)=0,"型式番号（　　　　　　　　号）","型式番号  ("&amp;IF(Q15="","",O15&amp;Q15&amp;"号")&amp;IF(S15="",""," "&amp;S15&amp;"号")&amp;"）")</f>
        <v/>
      </c>
      <c r="H15" s="194" t="inlineStr">
        <is>
          <t>製造会社名</t>
        </is>
      </c>
      <c r="J15" s="194">
        <f>IF(W15="","",W15)</f>
        <v/>
      </c>
      <c r="L15" s="214" t="n"/>
      <c r="N15" s="200" t="n"/>
      <c r="O15" s="130" t="inlineStr">
        <is>
          <t>認評放第</t>
        </is>
      </c>
      <c r="Q15" s="215" t="n"/>
      <c r="S15" s="215" t="n"/>
      <c r="U15" s="216" t="inlineStr">
        <is>
          <t>会社名</t>
        </is>
      </c>
      <c r="V15" s="201" t="n"/>
      <c r="W15" s="124" t="n"/>
    </row>
    <row r="16" ht="17.4" customHeight="1">
      <c r="B16" s="186" t="inlineStr">
        <is>
          <t>地区音響装置</t>
        </is>
      </c>
      <c r="D16" s="217">
        <f>IF(COUNTA(Q16,S16)=0,"型式番号（　　　　　　　　号）","型式番号  ("&amp;IF(Q16="","",O16&amp;Q16&amp;"号")&amp;IF(S16="",""," "&amp;S16&amp;"号")&amp;"）")</f>
        <v/>
      </c>
      <c r="E16" s="218" t="n"/>
      <c r="F16" s="218" t="n"/>
      <c r="G16" s="218" t="n"/>
      <c r="H16" s="219" t="n"/>
      <c r="I16" s="186" t="inlineStr">
        <is>
          <t>製造会社名</t>
        </is>
      </c>
      <c r="K16" s="80">
        <f>IF(W16="","",W16)</f>
        <v/>
      </c>
      <c r="N16" s="200" t="n"/>
      <c r="O16" s="220" t="inlineStr">
        <is>
          <t>認評放第</t>
        </is>
      </c>
      <c r="Q16" s="221" t="n"/>
      <c r="S16" s="222" t="n"/>
      <c r="U16" s="75" t="inlineStr">
        <is>
          <t>会社名</t>
        </is>
      </c>
      <c r="W16" s="191" t="n"/>
    </row>
    <row r="17" ht="17.4" customHeight="1">
      <c r="D17" s="217" t="inlineStr">
        <is>
          <t>ベル・サイレン・電子ブザー・スピーカー・その他（　　　　　　　　　　　　　）</t>
        </is>
      </c>
      <c r="E17" s="218" t="n"/>
      <c r="F17" s="218" t="n"/>
      <c r="G17" s="218" t="n"/>
      <c r="H17" s="218" t="n"/>
      <c r="I17" s="218" t="n"/>
      <c r="J17" s="218" t="n"/>
      <c r="K17" s="218" t="n"/>
      <c r="L17" s="218" t="n"/>
      <c r="M17" s="219" t="n"/>
      <c r="N17" s="200" t="n"/>
      <c r="O17" s="223" t="inlineStr">
        <is>
          <t>鐘径(ベル）</t>
        </is>
      </c>
      <c r="Q17" s="224" t="n"/>
      <c r="S17" s="182" t="inlineStr">
        <is>
          <t>ｍｍ</t>
        </is>
      </c>
      <c r="T17" s="182" t="n"/>
    </row>
    <row r="18" ht="17.4" customHeight="1">
      <c r="D18" s="178">
        <f>IF(Q17="","鐘径　　　　mm","鐘径　"&amp;Q17&amp;" mm")</f>
        <v/>
      </c>
      <c r="F18" s="178">
        <f>IF(Q18="","定格　　DC　　　　Ｖ　　　 mA　　　　個　　　　dB","　　定格　DC "&amp;Q18&amp;"V  "&amp;S18&amp;"mA  "&amp;U18&amp;"個  "&amp;W18&amp;"dB"&amp;Q19)</f>
        <v/>
      </c>
      <c r="N18" s="200" t="n"/>
      <c r="O18" s="208" t="inlineStr">
        <is>
          <t>定格</t>
        </is>
      </c>
      <c r="P18" s="151" t="inlineStr">
        <is>
          <t>DC</t>
        </is>
      </c>
      <c r="Q18" s="209" t="n"/>
      <c r="R18" s="151" t="n"/>
      <c r="S18" s="210" t="n"/>
      <c r="T18" s="182" t="inlineStr">
        <is>
          <t>mA</t>
        </is>
      </c>
      <c r="U18" s="181" t="n"/>
      <c r="V18" s="151" t="inlineStr">
        <is>
          <t>個</t>
        </is>
      </c>
      <c r="W18" s="212" t="n"/>
      <c r="X18" s="182" t="inlineStr">
        <is>
          <t>dB</t>
        </is>
      </c>
    </row>
    <row r="19" ht="17.4" customHeight="1">
      <c r="B19" s="199" t="inlineStr">
        <is>
          <t>音声切替装置</t>
        </is>
      </c>
      <c r="D19" s="197" t="inlineStr">
        <is>
          <t>型式番号（　　　　　号）　DC　　　Ｖ</t>
        </is>
      </c>
      <c r="I19" s="199" t="inlineStr">
        <is>
          <t>製造会社名</t>
        </is>
      </c>
      <c r="K19" s="197" t="n"/>
      <c r="N19" s="200" t="n"/>
      <c r="O19" s="225" t="inlineStr">
        <is>
          <t>備考（台数など）</t>
        </is>
      </c>
      <c r="Q19" s="124" t="n"/>
    </row>
    <row r="20" ht="17.4" customHeight="1">
      <c r="D20" s="226" t="inlineStr">
        <is>
          <t>常用電源</t>
        </is>
      </c>
      <c r="E20" s="178" t="inlineStr">
        <is>
          <t>単相　　AC　　Ｖ　非常電源専用受電設備回路・電灯回路</t>
        </is>
      </c>
      <c r="N20" s="200" t="n"/>
    </row>
    <row r="21" ht="17.4" customHeight="1">
      <c r="D21" s="226" t="inlineStr">
        <is>
          <t>非常電源</t>
        </is>
      </c>
      <c r="E21" s="178" t="inlineStr">
        <is>
          <t>蓄電池設備　　DC　　Ｖ　　AH　　充電方式（トリクル・浮動）</t>
        </is>
      </c>
      <c r="N21" s="200" t="n"/>
    </row>
    <row r="22" ht="17.4" customHeight="1">
      <c r="A22" s="177" t="inlineStr">
        <is>
          <t>配　線</t>
        </is>
      </c>
      <c r="B22" s="186" t="inlineStr">
        <is>
          <t>常用電源回路</t>
        </is>
      </c>
      <c r="D22" s="178" t="inlineStr">
        <is>
          <t>ケーブル露出・電線管露出・電線管埋設・その他（　　　　　　　　　　　　　　　）</t>
        </is>
      </c>
      <c r="N22" s="227" t="n"/>
      <c r="O22" s="227" t="n"/>
      <c r="P22" s="227" t="n"/>
    </row>
    <row r="23" ht="17.4" customHeight="1">
      <c r="B23" s="186" t="inlineStr">
        <is>
          <t>非常電源回路</t>
        </is>
      </c>
      <c r="D23" s="178" t="inlineStr">
        <is>
          <t>耐火電線・電線管露出・電線管埋設・その他（　　　　　　　　　　　　　　　）</t>
        </is>
      </c>
      <c r="N23" s="227" t="n"/>
      <c r="O23" s="227" t="n"/>
      <c r="P23" s="227" t="n"/>
    </row>
    <row r="24" ht="17.4" customHeight="1">
      <c r="B24" s="186" t="inlineStr">
        <is>
          <t>警報回路</t>
        </is>
      </c>
      <c r="D24" s="178" t="inlineStr">
        <is>
          <t>耐火電線・電線管露出・電線管埋設・その他（　　　　　　　　　　　　　　　）</t>
        </is>
      </c>
      <c r="N24" s="227" t="n"/>
      <c r="O24" s="227" t="n"/>
      <c r="P24" s="227" t="n"/>
    </row>
    <row r="25" ht="17.4" customHeight="1">
      <c r="B25" s="186" t="inlineStr">
        <is>
          <t>その他回路</t>
        </is>
      </c>
      <c r="D25" s="178" t="inlineStr">
        <is>
          <t>IV電線・ケーブル露出・電線管露出・電線管埋設・その他（　　　　　　　　　　　）</t>
        </is>
      </c>
      <c r="N25" s="227" t="n"/>
      <c r="O25" s="227" t="n"/>
      <c r="P25" s="227" t="n"/>
    </row>
    <row r="26" ht="17.4" customHeight="1">
      <c r="A26" s="199" t="inlineStr">
        <is>
          <t>関連設備</t>
        </is>
      </c>
      <c r="D26" s="228">
        <f>IF(P26="","",P26)</f>
        <v/>
      </c>
      <c r="N26" s="200" t="n"/>
      <c r="O26" s="200" t="inlineStr">
        <is>
          <t>関連設備</t>
        </is>
      </c>
      <c r="P26" s="229" t="inlineStr">
        <is>
          <t>インターホン設備</t>
        </is>
      </c>
    </row>
    <row r="27" ht="17.4" customHeight="1">
      <c r="D27" s="228">
        <f>IF(P27="","",P27)</f>
        <v/>
      </c>
      <c r="N27" s="200" t="n"/>
      <c r="O27" s="200" t="n"/>
      <c r="P27" s="229" t="n"/>
    </row>
    <row r="28" ht="17.4" customHeight="1">
      <c r="A28" s="186" t="inlineStr">
        <is>
          <t>工事者区分</t>
        </is>
      </c>
      <c r="D28" s="178" t="inlineStr">
        <is>
          <t>電源工事</t>
        </is>
      </c>
      <c r="F28" s="178" t="n"/>
      <c r="N28" s="200" t="n"/>
      <c r="O28" s="200" t="n"/>
      <c r="P28" s="200" t="n"/>
    </row>
    <row r="29" ht="17.4" customHeight="1">
      <c r="D29" s="178" t="inlineStr">
        <is>
          <t>配線工事</t>
        </is>
      </c>
      <c r="F29" s="178" t="n"/>
      <c r="N29" s="200" t="n"/>
      <c r="O29" s="200" t="n"/>
      <c r="P29" s="200" t="n"/>
    </row>
    <row r="30" ht="17.4" customHeight="1">
      <c r="D30" s="178" t="inlineStr">
        <is>
          <t>配線工事</t>
        </is>
      </c>
      <c r="F30" s="178" t="n"/>
      <c r="N30" s="200" t="n"/>
      <c r="O30" s="200" t="n"/>
      <c r="P30" s="200" t="n"/>
    </row>
    <row r="31" ht="17.4" customHeight="1">
      <c r="D31" s="178" t="inlineStr">
        <is>
          <t>配線工事</t>
        </is>
      </c>
      <c r="F31" s="178" t="n"/>
      <c r="N31" s="230" t="n"/>
      <c r="O31" s="230" t="n"/>
      <c r="P31" s="230" t="n"/>
    </row>
    <row r="32" ht="17.4" customHeight="1">
      <c r="D32" s="178" t="inlineStr">
        <is>
          <t>機器の取付工事</t>
        </is>
      </c>
      <c r="F32" s="178" t="inlineStr">
        <is>
          <t>株式会社　ＴＳＣアクセス・プロ</t>
        </is>
      </c>
      <c r="N32" s="230" t="n"/>
    </row>
    <row r="33" ht="17.4" customHeight="1">
      <c r="A33" s="231" t="inlineStr">
        <is>
          <t>そ の 他</t>
        </is>
      </c>
      <c r="B33" s="232" t="n"/>
      <c r="C33" s="102" t="n"/>
      <c r="D33" s="102" t="n"/>
      <c r="E33" s="102" t="n"/>
      <c r="F33" s="102" t="n"/>
      <c r="G33" s="102" t="n"/>
      <c r="H33" s="102" t="n"/>
      <c r="I33" s="102" t="n"/>
      <c r="J33" s="233" t="n"/>
      <c r="K33" s="233" t="n"/>
      <c r="L33" s="233" t="n"/>
      <c r="M33" s="234" t="n"/>
      <c r="N33" s="230" t="n"/>
    </row>
    <row r="34" ht="17.4" customHeight="1">
      <c r="B34" s="102" t="n"/>
      <c r="C34" s="102" t="n"/>
      <c r="D34" s="102" t="n"/>
      <c r="E34" s="102" t="n"/>
      <c r="F34" s="102" t="n"/>
      <c r="G34" s="102" t="n"/>
      <c r="H34" s="102" t="n"/>
      <c r="I34" s="102" t="n"/>
      <c r="J34" s="102" t="n"/>
      <c r="K34" s="102" t="n"/>
      <c r="L34" s="102" t="n"/>
      <c r="M34" s="235" t="n"/>
      <c r="N34" s="230" t="n"/>
      <c r="O34" s="236" t="inlineStr">
        <is>
          <t>表示灯容量計算　=　1/0.8×K×I（K＝2.3）</t>
        </is>
      </c>
      <c r="P34" s="237" t="n"/>
      <c r="Q34" s="237" t="n"/>
      <c r="R34" s="237" t="n"/>
      <c r="S34" s="237" t="n"/>
      <c r="T34" s="237" t="n"/>
      <c r="U34" s="237" t="n"/>
      <c r="V34" s="237" t="n"/>
      <c r="W34" s="237" t="n"/>
      <c r="X34" s="237" t="n"/>
      <c r="Y34" s="237" t="n"/>
      <c r="Z34" s="238" t="n"/>
    </row>
    <row r="35" ht="17.4" customHeight="1">
      <c r="B35" s="102" t="n"/>
      <c r="D35" s="102" t="n"/>
      <c r="E35" s="102" t="n"/>
      <c r="F35" s="102" t="n"/>
      <c r="G35" s="102" t="n"/>
      <c r="H35" s="102" t="n"/>
      <c r="I35" s="102" t="n"/>
      <c r="J35" s="102" t="n"/>
      <c r="K35" s="102" t="n"/>
      <c r="L35" s="102" t="n"/>
      <c r="M35" s="235" t="n"/>
      <c r="N35" s="230" t="n"/>
      <c r="O35" s="236">
        <f>"　　　　　　　　=　1/0.8×"&amp;S40&amp;"×2.3×"&amp;S39</f>
        <v/>
      </c>
      <c r="P35" s="237" t="n"/>
      <c r="Q35" s="237" t="n"/>
      <c r="R35" s="237" t="n"/>
      <c r="S35" s="237" t="n"/>
      <c r="T35" s="237" t="n"/>
      <c r="U35" s="237" t="n"/>
      <c r="V35" s="237" t="n"/>
      <c r="W35" s="237" t="n"/>
      <c r="X35" s="237" t="n"/>
      <c r="Y35" s="237" t="n"/>
      <c r="Z35" s="238" t="n"/>
    </row>
    <row r="36" ht="17.4" customHeight="1">
      <c r="B36" s="102" t="n"/>
      <c r="C36" s="102" t="n"/>
      <c r="D36" s="102" t="n"/>
      <c r="E36" s="102" t="n"/>
      <c r="F36" s="102" t="n"/>
      <c r="G36" s="102" t="n"/>
      <c r="H36" s="102" t="n"/>
      <c r="I36" s="102" t="n"/>
      <c r="J36" s="102" t="n"/>
      <c r="K36" s="102" t="n"/>
      <c r="L36" s="102" t="n"/>
      <c r="M36" s="235" t="n"/>
      <c r="N36" s="230" t="n"/>
      <c r="O36" s="232">
        <f>"　　　　　　　　=　"&amp;W41&amp;"Ah　＜"&amp;W39</f>
        <v/>
      </c>
      <c r="P36" s="237" t="n"/>
      <c r="Q36" s="237" t="n"/>
      <c r="R36" s="237" t="n"/>
      <c r="S36" s="237" t="n"/>
      <c r="T36" s="237" t="n"/>
      <c r="U36" s="237" t="n"/>
      <c r="V36" s="237" t="n"/>
      <c r="W36" s="237" t="n"/>
      <c r="X36" s="237" t="n"/>
      <c r="Y36" s="237" t="n"/>
      <c r="Z36" s="238" t="n"/>
    </row>
    <row r="37" ht="17.4" customHeight="1">
      <c r="B37" s="239" t="n"/>
      <c r="C37" s="240" t="n"/>
      <c r="D37" s="240" t="n"/>
      <c r="E37" s="240" t="n"/>
      <c r="F37" s="240" t="n"/>
      <c r="G37" s="240" t="n"/>
      <c r="H37" s="240" t="n"/>
      <c r="I37" s="240" t="n"/>
      <c r="J37" s="240" t="n"/>
      <c r="K37" s="240" t="n"/>
      <c r="L37" s="240" t="n"/>
      <c r="M37" s="241" t="n"/>
      <c r="N37" s="230" t="n"/>
      <c r="O37" s="239">
        <f>IF(W39="1.2Ah","非常警報設備交換　品番：BV13422H　認評非第13～21号","非常警報設備交換　品番：BV13412H　認評非第13～21号")</f>
        <v/>
      </c>
      <c r="P37" s="242" t="n"/>
      <c r="Q37" s="242" t="n"/>
      <c r="R37" s="242" t="n"/>
      <c r="S37" s="242" t="n"/>
      <c r="T37" s="242" t="n"/>
      <c r="U37" s="242" t="n"/>
      <c r="V37" s="242" t="n"/>
      <c r="W37" s="242" t="n"/>
      <c r="X37" s="242" t="n"/>
      <c r="Y37" s="242" t="n"/>
      <c r="Z37" s="243" t="n"/>
    </row>
    <row r="38" ht="3.6" customHeight="1">
      <c r="A38" s="230" t="n"/>
      <c r="B38" s="230" t="n"/>
      <c r="C38" s="230" t="n"/>
      <c r="D38" s="230" t="n"/>
      <c r="E38" s="230" t="n"/>
      <c r="F38" s="230" t="n"/>
      <c r="G38" s="230" t="n"/>
      <c r="H38" s="230" t="n"/>
      <c r="I38" s="230" t="n"/>
      <c r="J38" s="230" t="n"/>
      <c r="K38" s="230" t="n"/>
      <c r="L38" s="230" t="n"/>
      <c r="M38" s="230" t="n"/>
      <c r="N38" s="230" t="n"/>
    </row>
    <row r="39" ht="17.4" customHeight="1">
      <c r="A39" s="102" t="inlineStr">
        <is>
          <t>備考　１　この用紙の大きさは、日本産業規格Ａ４とすること。</t>
        </is>
      </c>
      <c r="B39" s="102" t="n"/>
      <c r="C39" s="102" t="n"/>
      <c r="D39" s="102" t="n"/>
      <c r="E39" s="102" t="n"/>
      <c r="F39" s="102" t="n"/>
      <c r="G39" s="102" t="n"/>
      <c r="H39" s="102" t="n"/>
      <c r="I39" s="102" t="n"/>
      <c r="J39" s="102" t="n"/>
      <c r="K39" s="102" t="n"/>
      <c r="L39" s="102" t="n"/>
      <c r="M39" s="102" t="n"/>
      <c r="N39" s="102" t="n"/>
      <c r="P39" t="inlineStr">
        <is>
          <t>表示灯台数</t>
        </is>
      </c>
      <c r="S39" s="244" t="n">
        <v>12</v>
      </c>
      <c r="U39" t="inlineStr">
        <is>
          <t>台</t>
        </is>
      </c>
      <c r="V39" t="inlineStr">
        <is>
          <t>⇒</t>
        </is>
      </c>
      <c r="W39" s="245">
        <f>IF(S41&lt;=0.45,"0.45Ah","1.2Ah")</f>
        <v/>
      </c>
    </row>
    <row r="40" ht="17.4" customHeight="1">
      <c r="A40" s="102" t="inlineStr">
        <is>
          <t xml:space="preserve">　　　２　選択肢の併記してある欄は、該当事項を○印で囲むこと。</t>
        </is>
      </c>
      <c r="B40" s="102" t="n"/>
      <c r="C40" s="102" t="n"/>
      <c r="D40" s="102" t="n"/>
      <c r="E40" s="102" t="n"/>
      <c r="F40" s="102" t="n"/>
      <c r="G40" s="102" t="n"/>
      <c r="H40" s="102" t="n"/>
      <c r="I40" s="102" t="n"/>
      <c r="J40" s="102" t="n"/>
      <c r="K40" s="102" t="n"/>
      <c r="L40" s="102" t="n"/>
      <c r="M40" s="102" t="n"/>
      <c r="N40" s="102" t="n"/>
      <c r="P40" t="inlineStr">
        <is>
          <t>消費電流</t>
        </is>
      </c>
      <c r="S40" s="246" t="n">
        <v>0.008999999999999999</v>
      </c>
      <c r="U40" t="inlineStr">
        <is>
          <t>A</t>
        </is>
      </c>
      <c r="V40" t="inlineStr">
        <is>
          <t>9ｍA</t>
        </is>
      </c>
    </row>
    <row r="41" ht="17.4" customHeight="1">
      <c r="A41" s="102" t="inlineStr">
        <is>
          <t xml:space="preserve">　　　３　感知器記入欄の（　　）内は、その機能又は性能を記入すること。</t>
        </is>
      </c>
      <c r="B41" s="102" t="n"/>
      <c r="C41" s="102" t="n"/>
      <c r="D41" s="102" t="n"/>
      <c r="E41" s="102" t="n"/>
      <c r="F41" s="102" t="n"/>
      <c r="G41" s="102" t="n"/>
      <c r="H41" s="102" t="n"/>
      <c r="I41" s="102" t="n"/>
      <c r="J41" s="102" t="n"/>
      <c r="K41" s="102" t="n"/>
      <c r="L41" s="102" t="n"/>
      <c r="M41" s="102" t="n"/>
      <c r="N41" s="102" t="n"/>
      <c r="P41" t="inlineStr">
        <is>
          <t>計算式入力済み</t>
        </is>
      </c>
      <c r="S41" s="247">
        <f>1/0.8*S40*2.3*S39</f>
        <v/>
      </c>
      <c r="U41" t="inlineStr">
        <is>
          <t>Ah</t>
        </is>
      </c>
      <c r="W41" s="247">
        <f>ROUND(S41,3)</f>
        <v/>
      </c>
      <c r="Y41" t="n">
        <v>0.276</v>
      </c>
    </row>
    <row r="42" ht="17.4" customHeight="1">
      <c r="A42" s="102" t="inlineStr">
        <is>
          <t xml:space="preserve">　　　４　関連設備の消火設備（　　）内は、その設備等の種類を記入すること。</t>
        </is>
      </c>
      <c r="B42" s="102" t="n"/>
      <c r="C42" s="102" t="n"/>
      <c r="D42" s="102" t="n"/>
      <c r="E42" s="102" t="n"/>
      <c r="F42" s="102" t="n"/>
      <c r="G42" s="102" t="n"/>
      <c r="H42" s="102" t="n"/>
      <c r="I42" s="102" t="n"/>
      <c r="J42" s="102" t="n"/>
      <c r="K42" s="102" t="n"/>
      <c r="L42" s="102" t="n"/>
      <c r="M42" s="102" t="n"/>
      <c r="N42" s="102" t="n"/>
    </row>
    <row r="43" ht="17.4" customHeight="1">
      <c r="P43" t="inlineStr">
        <is>
          <t>品番</t>
        </is>
      </c>
      <c r="Q43" t="inlineStr">
        <is>
          <t>認証非第</t>
        </is>
      </c>
    </row>
    <row r="44" ht="17.4" customHeight="1">
      <c r="A44" s="200" t="n"/>
      <c r="B44" s="200" t="n"/>
      <c r="C44" s="200" t="n"/>
      <c r="D44" s="200" t="n"/>
      <c r="E44" s="200" t="n"/>
      <c r="F44" s="200" t="n"/>
      <c r="G44" s="200" t="n"/>
      <c r="H44" s="200" t="n"/>
      <c r="I44" s="200" t="n"/>
      <c r="J44" s="200" t="n"/>
      <c r="K44" s="200" t="n"/>
      <c r="L44" s="200" t="n"/>
      <c r="M44" s="200" t="n"/>
      <c r="N44" s="200" t="n"/>
      <c r="P44" t="inlineStr">
        <is>
          <t>BV13412H</t>
        </is>
      </c>
      <c r="Q44" t="inlineStr">
        <is>
          <t>13～21号</t>
        </is>
      </c>
      <c r="R44" t="inlineStr">
        <is>
          <t>0.45Ahまで</t>
        </is>
      </c>
      <c r="T44" t="inlineStr">
        <is>
          <t>17台まで</t>
        </is>
      </c>
    </row>
    <row r="45" ht="17.4" customHeight="1">
      <c r="A45" s="200" t="n"/>
      <c r="B45" s="200" t="n"/>
      <c r="C45" s="200" t="n"/>
      <c r="D45" s="200" t="n"/>
      <c r="E45" s="200" t="n"/>
      <c r="F45" s="200" t="n"/>
      <c r="G45" s="200" t="n"/>
      <c r="H45" s="200" t="n"/>
      <c r="I45" s="200" t="n"/>
      <c r="J45" s="200" t="n"/>
      <c r="K45" s="200" t="n"/>
      <c r="L45" s="200" t="n"/>
      <c r="M45" s="200" t="n"/>
      <c r="N45" s="200" t="n"/>
      <c r="P45" t="inlineStr">
        <is>
          <t>BV13422H</t>
        </is>
      </c>
      <c r="Q45" t="inlineStr">
        <is>
          <t>13～21号</t>
        </is>
      </c>
      <c r="R45" t="inlineStr">
        <is>
          <t>1.2Ah</t>
        </is>
      </c>
      <c r="T45" s="248" t="inlineStr">
        <is>
          <t>46台まで</t>
        </is>
      </c>
    </row>
    <row r="46" ht="17.4" customHeight="1">
      <c r="A46" s="200" t="n"/>
      <c r="B46" s="200" t="n"/>
      <c r="C46" s="200" t="n"/>
      <c r="D46" s="200" t="n"/>
      <c r="E46" s="200" t="n"/>
      <c r="F46" s="200" t="n"/>
      <c r="G46" s="200" t="n"/>
      <c r="H46" s="200" t="n"/>
      <c r="I46" s="200" t="n"/>
      <c r="J46" s="200" t="n"/>
      <c r="K46" s="200" t="n"/>
      <c r="L46" s="200" t="n"/>
      <c r="M46" s="200" t="n"/>
      <c r="N46" s="200" t="n"/>
      <c r="O46" s="200" t="n"/>
      <c r="P46" s="200" t="n"/>
    </row>
  </sheetData>
  <mergeCells count="94">
    <mergeCell ref="Q13:R13"/>
    <mergeCell ref="B16:C18"/>
    <mergeCell ref="D12:M12"/>
    <mergeCell ref="D9:M9"/>
    <mergeCell ref="D19:H19"/>
    <mergeCell ref="O6:P6"/>
    <mergeCell ref="O15:P15"/>
    <mergeCell ref="B22:C22"/>
    <mergeCell ref="D31:E31"/>
    <mergeCell ref="W16:Y16"/>
    <mergeCell ref="D23:M23"/>
    <mergeCell ref="I16:J16"/>
    <mergeCell ref="Q19:X19"/>
    <mergeCell ref="B13:C15"/>
    <mergeCell ref="A13:A21"/>
    <mergeCell ref="O16:P16"/>
    <mergeCell ref="A2:K2"/>
    <mergeCell ref="K16:M16"/>
    <mergeCell ref="A22:A25"/>
    <mergeCell ref="D27:M27"/>
    <mergeCell ref="O17:P17"/>
    <mergeCell ref="B24:C24"/>
    <mergeCell ref="Q17:R17"/>
    <mergeCell ref="H15:I15"/>
    <mergeCell ref="Y5:AA5"/>
    <mergeCell ref="O3:P3"/>
    <mergeCell ref="B25:C25"/>
    <mergeCell ref="F29:M29"/>
    <mergeCell ref="D25:M25"/>
    <mergeCell ref="F6:G6"/>
    <mergeCell ref="B9:C10"/>
    <mergeCell ref="S39:T39"/>
    <mergeCell ref="Y6:AA6"/>
    <mergeCell ref="K14:M14"/>
    <mergeCell ref="F5:G5"/>
    <mergeCell ref="W41:X41"/>
    <mergeCell ref="F32:M32"/>
    <mergeCell ref="S40:T40"/>
    <mergeCell ref="Q15:R15"/>
    <mergeCell ref="S15:T15"/>
    <mergeCell ref="B19:C21"/>
    <mergeCell ref="B4:M4"/>
    <mergeCell ref="A28:C32"/>
    <mergeCell ref="C8:M8"/>
    <mergeCell ref="D29:E29"/>
    <mergeCell ref="I19:J19"/>
    <mergeCell ref="F14:J14"/>
    <mergeCell ref="E20:M20"/>
    <mergeCell ref="O19:P19"/>
    <mergeCell ref="W3:Y3"/>
    <mergeCell ref="D15:G15"/>
    <mergeCell ref="A33:A37"/>
    <mergeCell ref="S3:T3"/>
    <mergeCell ref="F30:M30"/>
    <mergeCell ref="O5:P5"/>
    <mergeCell ref="A3:A6"/>
    <mergeCell ref="O4:P4"/>
    <mergeCell ref="D22:M22"/>
    <mergeCell ref="H5:M5"/>
    <mergeCell ref="Q6:R6"/>
    <mergeCell ref="D28:E28"/>
    <mergeCell ref="F28:M28"/>
    <mergeCell ref="A26:C27"/>
    <mergeCell ref="C6:E6"/>
    <mergeCell ref="D30:E30"/>
    <mergeCell ref="W15:Y15"/>
    <mergeCell ref="A7:B8"/>
    <mergeCell ref="C7:M7"/>
    <mergeCell ref="T6:U6"/>
    <mergeCell ref="D14:E14"/>
    <mergeCell ref="S41:T41"/>
    <mergeCell ref="Q16:R16"/>
    <mergeCell ref="S16:T16"/>
    <mergeCell ref="B5:E5"/>
    <mergeCell ref="D24:M24"/>
    <mergeCell ref="D26:M26"/>
    <mergeCell ref="J15:K15"/>
    <mergeCell ref="B23:C23"/>
    <mergeCell ref="L15:M15"/>
    <mergeCell ref="D32:E32"/>
    <mergeCell ref="F18:M18"/>
    <mergeCell ref="D10:M10"/>
    <mergeCell ref="K19:M19"/>
    <mergeCell ref="U3:V3"/>
    <mergeCell ref="D18:E18"/>
    <mergeCell ref="E21:M21"/>
    <mergeCell ref="F31:M31"/>
    <mergeCell ref="D11:M11"/>
    <mergeCell ref="W39:X39"/>
    <mergeCell ref="A9:A12"/>
    <mergeCell ref="B3:M3"/>
    <mergeCell ref="B11:C12"/>
    <mergeCell ref="H6:M6"/>
    <mergeCell ref="O13:P13"/>
  </mergeCells>
  <dataValidations count="2">
    <dataValidation sqref="K19:M19" showDropDown="0" showInputMessage="1" showErrorMessage="1" allowBlank="1" type="list">
      <formula1>"パナソニック㈱,ニッタン,能美防災,ホーチキ"</formula1>
    </dataValidation>
    <dataValidation sqref="O15:P16" showDropDown="0" showInputMessage="1" showErrorMessage="1" allowBlank="1" type="list">
      <formula1>$AC$2:$AC$3</formula1>
    </dataValidation>
  </dataValidations>
  <pageMargins left="0.7086614173228347" right="0.7086614173228347" top="0.7480314960629921" bottom="0.7480314960629921" header="0.3149606299212598" footer="0.3149606299212598"/>
  <pageSetup orientation="portrait" paperSize="9" fitToWidth="0"/>
</worksheet>
</file>

<file path=xl/worksheets/sheet5.xml><?xml version="1.0" encoding="utf-8"?>
<worksheet xmlns="http://schemas.openxmlformats.org/spreadsheetml/2006/main">
  <sheetPr>
    <tabColor theme="9"/>
    <outlinePr summaryBelow="1" summaryRight="1"/>
    <pageSetUpPr fitToPage="1"/>
  </sheetPr>
  <dimension ref="A1:AH40"/>
  <sheetViews>
    <sheetView workbookViewId="0">
      <selection activeCell="A1" sqref="A1"/>
    </sheetView>
  </sheetViews>
  <sheetFormatPr baseColWidth="8" defaultRowHeight="15"/>
  <cols>
    <col width="3.69921875" customWidth="1" min="1" max="1"/>
    <col width="6.19921875" customWidth="1" min="2" max="2"/>
    <col width="8.19921875" customWidth="1" min="6" max="6"/>
    <col width="6.19921875" customWidth="1" min="7" max="7"/>
    <col width="6.19921875" customWidth="1" min="12" max="12"/>
    <col width="6.19921875" customWidth="1" min="13" max="13"/>
    <col width="2.69921875" customWidth="1" min="14" max="14"/>
    <col width="6.19921875" customWidth="1" min="15" max="15"/>
    <col width="7" customWidth="1" min="16" max="16"/>
    <col width="10.3984375" customWidth="1" min="17" max="17"/>
    <col width="7" customWidth="1" min="18" max="18"/>
    <col width="4.09765625" customWidth="1" min="19" max="19"/>
    <col width="6.19921875" customWidth="1" min="20" max="20"/>
    <col width="6.19921875" customWidth="1" min="21" max="21"/>
    <col width="6.19921875" customWidth="1" min="22" max="22"/>
    <col width="6.796875" customWidth="1" min="23" max="23"/>
    <col width="6.19921875" customWidth="1" min="24" max="24"/>
    <col width="4.8984375" customWidth="1" min="25" max="25"/>
    <col width="14.3984375" customWidth="1" min="26" max="26"/>
    <col width="6.19921875" customWidth="1" min="27" max="27"/>
  </cols>
  <sheetData>
    <row r="1" ht="18.45" customHeight="1">
      <c r="A1" s="15" t="inlineStr">
        <is>
          <t xml:space="preserve">別記様式５　</t>
        </is>
      </c>
      <c r="B1" s="15" t="n"/>
      <c r="C1" s="15" t="n"/>
      <c r="D1" s="15" t="n"/>
      <c r="E1" s="15" t="n"/>
      <c r="F1" s="15" t="n"/>
      <c r="G1" s="15" t="n"/>
      <c r="H1" s="15" t="n"/>
      <c r="I1" s="15" t="n"/>
      <c r="J1" s="15" t="n"/>
      <c r="K1" s="15" t="n"/>
      <c r="L1" s="76" t="n"/>
      <c r="M1" s="104" t="inlineStr">
        <is>
          <t>【住戸部】</t>
        </is>
      </c>
      <c r="N1" s="105" t="n"/>
      <c r="P1" s="15" t="inlineStr">
        <is>
          <t>左のシートはプルダウンのみ操作</t>
        </is>
      </c>
      <c r="AB1" s="106" t="inlineStr">
        <is>
          <t>触るな危険</t>
        </is>
      </c>
      <c r="AC1" s="106" t="n"/>
    </row>
    <row r="2" ht="18.45" customHeight="1">
      <c r="A2" s="107" t="inlineStr">
        <is>
          <t>自 動 火 災 報 知 設 備 の 概 要 表</t>
        </is>
      </c>
      <c r="B2" s="107" t="n"/>
      <c r="C2" s="107" t="n"/>
      <c r="D2" s="107" t="n"/>
      <c r="E2" s="107" t="n"/>
      <c r="F2" s="107" t="n"/>
      <c r="G2" s="107" t="n"/>
      <c r="H2" s="107" t="n"/>
      <c r="I2" s="107" t="n"/>
      <c r="J2" s="107" t="n"/>
      <c r="K2" s="107" t="n"/>
      <c r="L2" s="107" t="n"/>
      <c r="M2" s="104" t="inlineStr">
        <is>
          <t>（その１）</t>
        </is>
      </c>
      <c r="P2" s="78" t="inlineStr">
        <is>
          <t>入力フォーム</t>
        </is>
      </c>
      <c r="AB2" s="108" t="inlineStr">
        <is>
          <t>差動式</t>
        </is>
      </c>
      <c r="AC2" s="109" t="inlineStr">
        <is>
          <t>（　　　　)</t>
        </is>
      </c>
      <c r="AD2" s="109" t="n"/>
      <c r="AE2" s="110" t="inlineStr">
        <is>
          <t>〇</t>
        </is>
      </c>
      <c r="AF2" s="109" t="inlineStr">
        <is>
          <t>特種</t>
        </is>
      </c>
      <c r="AG2" s="109" t="inlineStr">
        <is>
          <t>パナソニック㈱</t>
        </is>
      </c>
      <c r="AH2" s="111" t="n"/>
    </row>
    <row r="3" ht="18.45" customHeight="1">
      <c r="A3" s="93" t="inlineStr">
        <is>
          <t xml:space="preserve">　　感　　　　　　　知　　　　　　　器　　</t>
        </is>
      </c>
      <c r="B3" s="112" t="inlineStr">
        <is>
          <t>機　　　　　種</t>
        </is>
      </c>
      <c r="I3" s="112" t="inlineStr">
        <is>
          <t>蓄積</t>
        </is>
      </c>
      <c r="J3" s="112" t="inlineStr">
        <is>
          <t>自動</t>
        </is>
      </c>
      <c r="K3" s="112" t="inlineStr">
        <is>
          <t>遠隔</t>
        </is>
      </c>
      <c r="L3" s="112" t="inlineStr">
        <is>
          <t>種別</t>
        </is>
      </c>
      <c r="M3" s="112" t="inlineStr">
        <is>
          <t>個数</t>
        </is>
      </c>
      <c r="P3" s="113" t="inlineStr">
        <is>
          <t>機種</t>
        </is>
      </c>
      <c r="T3" s="114" t="inlineStr">
        <is>
          <t>蓄積</t>
        </is>
      </c>
      <c r="U3" s="114" t="inlineStr">
        <is>
          <t>自動</t>
        </is>
      </c>
      <c r="V3" s="114" t="inlineStr">
        <is>
          <t>遠隔</t>
        </is>
      </c>
      <c r="W3" s="114" t="inlineStr">
        <is>
          <t>種別</t>
        </is>
      </c>
      <c r="X3" s="78" t="inlineStr">
        <is>
          <t>個数</t>
        </is>
      </c>
      <c r="AB3" s="115" t="inlineStr">
        <is>
          <t>定温式</t>
        </is>
      </c>
      <c r="AC3" s="116" t="inlineStr">
        <is>
          <t>（60℃防水)</t>
        </is>
      </c>
      <c r="AD3" s="116" t="n"/>
      <c r="AE3" s="116" t="n"/>
      <c r="AF3" s="116" t="inlineStr">
        <is>
          <t>1種</t>
        </is>
      </c>
      <c r="AG3" s="116" t="inlineStr">
        <is>
          <t>ニッタン</t>
        </is>
      </c>
      <c r="AH3" s="117" t="n"/>
    </row>
    <row r="4" ht="18.45" customHeight="1">
      <c r="B4" s="118">
        <f>IF(P4="","",P4&amp;" "&amp;Q4)</f>
        <v/>
      </c>
      <c r="G4" s="119">
        <f>IF(R4="","",R4)</f>
        <v/>
      </c>
      <c r="H4" s="120" t="n"/>
      <c r="I4" s="113">
        <f>IF(T4="","",T4)</f>
        <v/>
      </c>
      <c r="J4" s="113">
        <f>IF(U4="","",U4)</f>
        <v/>
      </c>
      <c r="K4" s="113">
        <f>IF(V4="","",V4)</f>
        <v/>
      </c>
      <c r="L4" s="113">
        <f>IF(W4="","",W4)</f>
        <v/>
      </c>
      <c r="M4" s="121">
        <f>IF(X4="","",X4)</f>
        <v/>
      </c>
      <c r="P4" s="122" t="inlineStr">
        <is>
          <t>定温式</t>
        </is>
      </c>
      <c r="Q4" s="123" t="inlineStr">
        <is>
          <t>スポット型</t>
        </is>
      </c>
      <c r="R4" s="220" t="inlineStr">
        <is>
          <t>（60℃防水)</t>
        </is>
      </c>
      <c r="T4" s="92" t="n"/>
      <c r="U4" s="92" t="n"/>
      <c r="V4" s="92" t="inlineStr">
        <is>
          <t>〇</t>
        </is>
      </c>
      <c r="W4" s="124" t="inlineStr">
        <is>
          <t>特種</t>
        </is>
      </c>
      <c r="X4" s="92" t="n">
        <v>49</v>
      </c>
      <c r="Y4" s="15" t="n"/>
      <c r="Z4" s="75" t="inlineStr">
        <is>
          <t>601号室（差5.定1）</t>
        </is>
      </c>
      <c r="AB4" s="115" t="inlineStr">
        <is>
          <t>光電式</t>
        </is>
      </c>
      <c r="AC4" s="116" t="inlineStr">
        <is>
          <t>（70℃防水)</t>
        </is>
      </c>
      <c r="AD4" s="116" t="n"/>
      <c r="AE4" s="116" t="n"/>
      <c r="AF4" s="116" t="inlineStr">
        <is>
          <t>2種</t>
        </is>
      </c>
      <c r="AG4" s="116" t="inlineStr">
        <is>
          <t>能美防災</t>
        </is>
      </c>
      <c r="AH4" s="117" t="n"/>
    </row>
    <row r="5" ht="18.45" customHeight="1">
      <c r="B5" s="249">
        <f>IF(P4="","","型 式 番 号   感  第")</f>
        <v/>
      </c>
      <c r="E5" s="125">
        <f>IF(P4="","",TEXT(R5,"##")&amp;"～"&amp;TEXT(T5,"##")&amp;"号")</f>
        <v/>
      </c>
      <c r="G5" s="126">
        <f>IF(P4="","","製造会社名")</f>
        <v/>
      </c>
      <c r="I5" s="127">
        <f>IF(V5="","",V5)</f>
        <v/>
      </c>
      <c r="P5" s="128" t="n"/>
      <c r="Q5" s="250" t="inlineStr">
        <is>
          <t>感第</t>
        </is>
      </c>
      <c r="R5" s="130" t="n">
        <v>25</v>
      </c>
      <c r="S5" s="112" t="inlineStr">
        <is>
          <t>～</t>
        </is>
      </c>
      <c r="T5" s="130" t="n">
        <v>3</v>
      </c>
      <c r="U5" s="125" t="inlineStr">
        <is>
          <t>号</t>
        </is>
      </c>
      <c r="V5" s="131" t="inlineStr">
        <is>
          <t>パナソニック㈱</t>
        </is>
      </c>
      <c r="Z5" s="75" t="inlineStr">
        <is>
          <t>1402号室(差6.定1）</t>
        </is>
      </c>
      <c r="AB5" s="115" t="n"/>
      <c r="AC5" s="116" t="inlineStr">
        <is>
          <t>（75℃防水)</t>
        </is>
      </c>
      <c r="AD5" s="116" t="n"/>
      <c r="AE5" s="116" t="n"/>
      <c r="AF5" s="116" t="inlineStr">
        <is>
          <t>3種</t>
        </is>
      </c>
      <c r="AG5" s="116" t="inlineStr">
        <is>
          <t>ホーチキ㈱</t>
        </is>
      </c>
      <c r="AH5" s="117" t="n"/>
    </row>
    <row r="6" ht="18.45" customHeight="1">
      <c r="B6" s="118">
        <f>IF(P6="","",P6&amp;" "&amp;Q6)</f>
        <v/>
      </c>
      <c r="G6" s="135">
        <f>IF(R6="","",R6)</f>
        <v/>
      </c>
      <c r="H6" s="136" t="n"/>
      <c r="I6" s="78">
        <f>IF(T6="","",T6)</f>
        <v/>
      </c>
      <c r="J6" s="78">
        <f>IF(U6="","",U6)</f>
        <v/>
      </c>
      <c r="K6" s="78">
        <f>IF(V6="","",V6)</f>
        <v/>
      </c>
      <c r="L6" s="78">
        <f>IF(W6="","",W6)</f>
        <v/>
      </c>
      <c r="M6" s="251">
        <f>IF(X6="","",X6)</f>
        <v/>
      </c>
      <c r="P6" s="122" t="inlineStr">
        <is>
          <t>差動式</t>
        </is>
      </c>
      <c r="Q6" s="123" t="inlineStr">
        <is>
          <t>スポット型</t>
        </is>
      </c>
      <c r="R6" s="220" t="inlineStr">
        <is>
          <t>（　　　　)</t>
        </is>
      </c>
      <c r="T6" s="92" t="n"/>
      <c r="U6" s="92" t="n"/>
      <c r="V6" s="92" t="inlineStr">
        <is>
          <t>〇</t>
        </is>
      </c>
      <c r="W6" s="124" t="inlineStr">
        <is>
          <t>2種</t>
        </is>
      </c>
      <c r="X6" s="92" t="n">
        <v>224</v>
      </c>
      <c r="AB6" s="252" t="n"/>
      <c r="AC6" s="132" t="inlineStr">
        <is>
          <t>（65℃防水)</t>
        </is>
      </c>
      <c r="AD6" s="132" t="n"/>
      <c r="AE6" s="132" t="n"/>
      <c r="AF6" s="132" t="n"/>
      <c r="AG6" s="132" t="n"/>
      <c r="AH6" s="133" t="n"/>
    </row>
    <row r="7" ht="18.45" customHeight="1">
      <c r="B7" s="249">
        <f>IF(P6="","","型 式 番 号   感  第")</f>
        <v/>
      </c>
      <c r="E7" s="125">
        <f>IF(P6="","",TEXT(R7,"##")&amp;"～"&amp;TEXT(T7,"##")&amp;"号")</f>
        <v/>
      </c>
      <c r="G7" s="126">
        <f>IF(P6="","","製造会社名")</f>
        <v/>
      </c>
      <c r="I7" s="127">
        <f>IF(V7="","",V7)</f>
        <v/>
      </c>
      <c r="P7" s="128" t="n"/>
      <c r="Q7" s="250" t="inlineStr">
        <is>
          <t>感第</t>
        </is>
      </c>
      <c r="R7" s="130" t="n">
        <v>25</v>
      </c>
      <c r="S7" s="112" t="inlineStr">
        <is>
          <t>～</t>
        </is>
      </c>
      <c r="T7" s="130" t="n">
        <v>4</v>
      </c>
      <c r="U7" s="125" t="inlineStr">
        <is>
          <t>号</t>
        </is>
      </c>
      <c r="V7" s="131" t="inlineStr">
        <is>
          <t>パナソニック㈱</t>
        </is>
      </c>
    </row>
    <row r="8" ht="18.45" customHeight="1">
      <c r="B8" s="118">
        <f>IF(P8="","",P8&amp;" "&amp;Q8)</f>
        <v/>
      </c>
      <c r="G8" s="135">
        <f>IF(R8="","",R8)</f>
        <v/>
      </c>
      <c r="H8" s="136" t="n"/>
      <c r="I8" s="78">
        <f>IF(T8="","",T8)</f>
        <v/>
      </c>
      <c r="J8" s="78">
        <f>IF(U8="","",U8)</f>
        <v/>
      </c>
      <c r="K8" s="78">
        <f>IF(V8="","",V8)</f>
        <v/>
      </c>
      <c r="L8" s="78">
        <f>IF(W8="","",W8)</f>
        <v/>
      </c>
      <c r="M8" s="251">
        <f>IF(X8="","",X8)</f>
        <v/>
      </c>
      <c r="P8" s="122" t="n"/>
      <c r="Q8" s="123" t="inlineStr">
        <is>
          <t>スポット型</t>
        </is>
      </c>
      <c r="R8" s="220" t="n"/>
      <c r="T8" s="92" t="n"/>
      <c r="U8" s="92" t="n"/>
      <c r="V8" s="92" t="n"/>
      <c r="W8" s="124" t="n"/>
      <c r="X8" s="92" t="n"/>
      <c r="Z8" s="15" t="n"/>
    </row>
    <row r="9" ht="18.45" customHeight="1">
      <c r="B9" s="249">
        <f>IF(P8="","","型 式 番 号   感  第")</f>
        <v/>
      </c>
      <c r="E9" s="125">
        <f>IF(P8="","",TEXT(R9,"##")&amp;"～"&amp;TEXT(T9,"##")&amp;"号")</f>
        <v/>
      </c>
      <c r="G9" s="126">
        <f>IF(P8="","","製造会社名")</f>
        <v/>
      </c>
      <c r="I9" s="127">
        <f>IF(V9="","",V9)</f>
        <v/>
      </c>
      <c r="P9" s="128" t="n"/>
      <c r="Q9" s="250" t="inlineStr">
        <is>
          <t>感第</t>
        </is>
      </c>
      <c r="R9" s="130" t="n"/>
      <c r="S9" s="112" t="inlineStr">
        <is>
          <t>～</t>
        </is>
      </c>
      <c r="T9" s="130" t="n"/>
      <c r="U9" s="125" t="inlineStr">
        <is>
          <t>号</t>
        </is>
      </c>
      <c r="V9" s="131" t="n"/>
    </row>
    <row r="10" ht="18.45" customHeight="1">
      <c r="B10" s="118">
        <f>IF(P10="","",P10&amp;" "&amp;Q10)</f>
        <v/>
      </c>
      <c r="G10" s="135">
        <f>IF(R10="","",R10)</f>
        <v/>
      </c>
      <c r="H10" s="136" t="n"/>
      <c r="I10" s="78">
        <f>IF(T10="","",T10)</f>
        <v/>
      </c>
      <c r="J10" s="78">
        <f>IF(U10="","",U10)</f>
        <v/>
      </c>
      <c r="K10" s="78">
        <f>IF(V10="","",V10)</f>
        <v/>
      </c>
      <c r="L10" s="78">
        <f>IF(W10="","",W10)</f>
        <v/>
      </c>
      <c r="M10" s="251">
        <f>IF(X10="","",X10)</f>
        <v/>
      </c>
      <c r="P10" s="122" t="n"/>
      <c r="Q10" s="123" t="inlineStr">
        <is>
          <t>スポット型</t>
        </is>
      </c>
      <c r="R10" s="220" t="n"/>
      <c r="T10" s="92" t="n"/>
      <c r="U10" s="92" t="n"/>
      <c r="V10" s="92" t="n"/>
      <c r="W10" s="124" t="n"/>
      <c r="X10" s="92" t="n"/>
      <c r="Z10" s="75" t="n"/>
    </row>
    <row r="11" ht="18.45" customHeight="1">
      <c r="B11" s="249">
        <f>IF(P10="","","型 式 番 号   感  第")</f>
        <v/>
      </c>
      <c r="E11" s="125">
        <f>IF(P10="","",TEXT(R11,"##")&amp;"～"&amp;TEXT(T11,"##")&amp;"号")</f>
        <v/>
      </c>
      <c r="G11" s="126">
        <f>IF(P10="","","製造会社名")</f>
        <v/>
      </c>
      <c r="I11" s="127">
        <f>IF(V11="","",V11)</f>
        <v/>
      </c>
      <c r="P11" s="128" t="n"/>
      <c r="Q11" s="253" t="n"/>
      <c r="R11" s="130" t="n"/>
      <c r="S11" s="112" t="inlineStr">
        <is>
          <t>～</t>
        </is>
      </c>
      <c r="T11" s="130" t="n"/>
      <c r="U11" s="125" t="n"/>
      <c r="V11" s="131" t="n"/>
    </row>
    <row r="12" ht="18.45" customHeight="1">
      <c r="B12" s="118">
        <f>IF(P12="","",P12&amp;" "&amp;Q12)</f>
        <v/>
      </c>
      <c r="G12" s="135">
        <f>IF(R12="","",R12)</f>
        <v/>
      </c>
      <c r="H12" s="136" t="n"/>
      <c r="I12" s="78">
        <f>IF(T12="","",T12)</f>
        <v/>
      </c>
      <c r="J12" s="78">
        <f>IF(U12="","",U12)</f>
        <v/>
      </c>
      <c r="K12" s="78">
        <f>IF(V12="","",V12)</f>
        <v/>
      </c>
      <c r="L12" s="78">
        <f>IF(W12="","",W12)</f>
        <v/>
      </c>
      <c r="M12" s="251">
        <f>IF(X12="","",X12)</f>
        <v/>
      </c>
      <c r="P12" s="122" t="n"/>
      <c r="Q12" s="123" t="inlineStr">
        <is>
          <t>スポット型</t>
        </is>
      </c>
      <c r="R12" s="220" t="n"/>
      <c r="T12" s="92" t="n"/>
      <c r="U12" s="92" t="n"/>
      <c r="V12" s="92" t="n"/>
      <c r="W12" s="124" t="n"/>
      <c r="X12" s="92" t="n"/>
    </row>
    <row r="13" ht="18.45" customHeight="1">
      <c r="B13" s="249">
        <f>IF(P12="","","型 式 番 号   感  第")</f>
        <v/>
      </c>
      <c r="E13" s="125">
        <f>IF(P12="","",TEXT(R13,"##")&amp;"～"&amp;TEXT(T13,"##")&amp;"号")</f>
        <v/>
      </c>
      <c r="G13" s="126">
        <f>IF(P12="","","製造会社名")</f>
        <v/>
      </c>
      <c r="I13" s="127">
        <f>IF(V13="","",V13)</f>
        <v/>
      </c>
      <c r="P13" s="128" t="n"/>
      <c r="Q13" s="253" t="n"/>
      <c r="R13" s="130" t="n"/>
      <c r="S13" s="112" t="inlineStr">
        <is>
          <t>～</t>
        </is>
      </c>
      <c r="T13" s="130" t="n"/>
      <c r="U13" s="125" t="inlineStr">
        <is>
          <t>号</t>
        </is>
      </c>
      <c r="V13" s="131" t="n"/>
    </row>
    <row r="14" ht="18.45" customHeight="1">
      <c r="B14" s="118">
        <f>IF(P14="","",P14&amp;" "&amp;Q14)</f>
        <v/>
      </c>
      <c r="G14" s="135">
        <f>IF(R14="","",R14)</f>
        <v/>
      </c>
      <c r="H14" s="136" t="n"/>
      <c r="I14" s="78">
        <f>IF(T14="","",T14)</f>
        <v/>
      </c>
      <c r="J14" s="78">
        <f>IF(U14="","",U14)</f>
        <v/>
      </c>
      <c r="K14" s="78">
        <f>IF(V14="","",V14)</f>
        <v/>
      </c>
      <c r="L14" s="78">
        <f>IF(W14="","",W14)</f>
        <v/>
      </c>
      <c r="M14" s="251">
        <f>IF(X14="","",X14)</f>
        <v/>
      </c>
      <c r="P14" s="122" t="n"/>
      <c r="Q14" s="123" t="inlineStr">
        <is>
          <t>スポット型</t>
        </is>
      </c>
      <c r="R14" s="220" t="n"/>
      <c r="T14" s="92" t="n"/>
      <c r="U14" s="92" t="n"/>
      <c r="V14" s="92" t="n"/>
      <c r="W14" s="124" t="n"/>
      <c r="X14" s="92" t="n"/>
    </row>
    <row r="15" ht="18.45" customHeight="1">
      <c r="B15" s="249">
        <f>IF(P14="","","型 式 番 号   感  第")</f>
        <v/>
      </c>
      <c r="E15" s="125">
        <f>IF(P14="","",TEXT(R15,"##")&amp;"～"&amp;TEXT(T15,"##")&amp;"号")</f>
        <v/>
      </c>
      <c r="G15" s="126">
        <f>IF(P14="","","製造会社名")</f>
        <v/>
      </c>
      <c r="I15" s="127">
        <f>IF(V15="","",V15)</f>
        <v/>
      </c>
      <c r="P15" s="128" t="n"/>
      <c r="Q15" s="253" t="n"/>
      <c r="R15" s="130" t="n"/>
      <c r="S15" s="112" t="inlineStr">
        <is>
          <t>～</t>
        </is>
      </c>
      <c r="T15" s="130" t="n"/>
      <c r="U15" s="125" t="inlineStr">
        <is>
          <t>号</t>
        </is>
      </c>
      <c r="V15" s="131" t="n"/>
    </row>
    <row r="16" ht="18.45" customHeight="1">
      <c r="B16" s="118">
        <f>IF(P16="","",P16&amp;" "&amp;Q16)</f>
        <v/>
      </c>
      <c r="G16" s="135">
        <f>IF(R16="","",R16)</f>
        <v/>
      </c>
      <c r="H16" s="136" t="n"/>
      <c r="I16" s="78">
        <f>IF(T16="","",T16)</f>
        <v/>
      </c>
      <c r="J16" s="78">
        <f>IF(U16="","",U16)</f>
        <v/>
      </c>
      <c r="K16" s="78">
        <f>IF(V16="","",V16)</f>
        <v/>
      </c>
      <c r="L16" s="78">
        <f>IF(W16="","",W16)</f>
        <v/>
      </c>
      <c r="M16" s="251">
        <f>IF(X16="","",X16)</f>
        <v/>
      </c>
      <c r="P16" s="122" t="n"/>
      <c r="Q16" s="123" t="inlineStr">
        <is>
          <t>スポット型</t>
        </is>
      </c>
      <c r="R16" s="220" t="n"/>
      <c r="T16" s="92" t="n"/>
      <c r="U16" s="92" t="n"/>
      <c r="V16" s="92" t="n"/>
      <c r="W16" s="124" t="n"/>
      <c r="X16" s="92" t="n"/>
    </row>
    <row r="17" ht="18.45" customHeight="1">
      <c r="B17" s="249">
        <f>IF(P16="","","型 式 番 号   感  第")</f>
        <v/>
      </c>
      <c r="E17" s="125">
        <f>IF(P16="","",TEXT(R17,"##")&amp;"～"&amp;TEXT(T17,"##")&amp;"号")</f>
        <v/>
      </c>
      <c r="G17" s="126">
        <f>IF(P16="","","製造会社名")</f>
        <v/>
      </c>
      <c r="I17" s="127">
        <f>IF(V17="","",V17)</f>
        <v/>
      </c>
      <c r="P17" s="128" t="n"/>
      <c r="Q17" s="253" t="n"/>
      <c r="R17" s="130" t="n"/>
      <c r="S17" s="112" t="inlineStr">
        <is>
          <t>～</t>
        </is>
      </c>
      <c r="T17" s="130" t="n"/>
      <c r="U17" s="125" t="inlineStr">
        <is>
          <t>号</t>
        </is>
      </c>
      <c r="V17" s="131" t="n"/>
    </row>
    <row r="18" ht="18.45" customHeight="1">
      <c r="B18" s="118">
        <f>IF(P18="","",P18&amp;" "&amp;Q18)</f>
        <v/>
      </c>
      <c r="G18" s="135">
        <f>IF(R18="","",R18)</f>
        <v/>
      </c>
      <c r="H18" s="136" t="n"/>
      <c r="I18" s="78">
        <f>IF(T18="","",T18)</f>
        <v/>
      </c>
      <c r="J18" s="78">
        <f>IF(U18="","",U18)</f>
        <v/>
      </c>
      <c r="K18" s="78">
        <f>IF(V18="","",V18)</f>
        <v/>
      </c>
      <c r="L18" s="78">
        <f>IF(W18="","",W18)</f>
        <v/>
      </c>
      <c r="M18" s="251">
        <f>IF(X18="","",X18)</f>
        <v/>
      </c>
      <c r="P18" s="123" t="n"/>
      <c r="Q18" s="123" t="inlineStr">
        <is>
          <t>スポット型</t>
        </is>
      </c>
      <c r="R18" s="113" t="n"/>
      <c r="T18" s="78" t="n"/>
      <c r="U18" s="78" t="n"/>
      <c r="V18" s="78" t="n"/>
      <c r="W18" s="180" t="n"/>
      <c r="X18" s="78" t="n"/>
      <c r="Y18" s="75" t="n"/>
      <c r="Z18" s="75" t="n"/>
    </row>
    <row r="19" ht="18.45" customHeight="1">
      <c r="B19" s="249">
        <f>IF(P18="","","型 式 番 号   感  第")</f>
        <v/>
      </c>
      <c r="E19" s="125">
        <f>IF(P18="","",TEXT(R19,"##")&amp;"～"&amp;TEXT(T19,"##")&amp;"号")</f>
        <v/>
      </c>
      <c r="G19" s="126">
        <f>IF(P18="","","製造会社名")</f>
        <v/>
      </c>
      <c r="I19" s="127">
        <f>IF(V19="","",V19)</f>
        <v/>
      </c>
      <c r="P19" s="128" t="n"/>
      <c r="Q19" s="253" t="n"/>
      <c r="R19" s="112" t="n"/>
      <c r="S19" s="112" t="inlineStr">
        <is>
          <t>～</t>
        </is>
      </c>
      <c r="T19" s="112" t="n"/>
      <c r="U19" s="125" t="inlineStr">
        <is>
          <t>号</t>
        </is>
      </c>
      <c r="V19" s="254" t="n"/>
      <c r="Y19" s="75" t="n"/>
      <c r="Z19" s="75" t="n"/>
    </row>
    <row r="20" ht="18.45" customHeight="1">
      <c r="B20" s="118">
        <f>IF(P20="","",P20&amp;" "&amp;Q20)</f>
        <v/>
      </c>
      <c r="G20" s="135">
        <f>IF(R20="","",R20)</f>
        <v/>
      </c>
      <c r="H20" s="136" t="n"/>
      <c r="I20" s="78">
        <f>IF(T20="","",T20)</f>
        <v/>
      </c>
      <c r="J20" s="78">
        <f>IF(U20="","",U20)</f>
        <v/>
      </c>
      <c r="K20" s="78">
        <f>IF(V20="","",V20)</f>
        <v/>
      </c>
      <c r="L20" s="78">
        <f>IF(W20="","",W20)</f>
        <v/>
      </c>
      <c r="M20" s="251">
        <f>IF(X20="","",X20)</f>
        <v/>
      </c>
      <c r="P20" s="123" t="n"/>
      <c r="Q20" s="123" t="inlineStr">
        <is>
          <t>スポット型</t>
        </is>
      </c>
      <c r="R20" s="113" t="n"/>
      <c r="T20" s="78" t="n"/>
      <c r="U20" s="78" t="n"/>
      <c r="V20" s="78" t="n"/>
      <c r="W20" s="180" t="n"/>
      <c r="X20" s="78" t="n"/>
      <c r="Y20" s="75" t="n"/>
      <c r="Z20" s="75" t="n"/>
    </row>
    <row r="21" ht="18.45" customHeight="1">
      <c r="B21" s="249">
        <f>IF(P20="","","型 式 番 号   感  第")</f>
        <v/>
      </c>
      <c r="E21" s="125">
        <f>IF(P20="","",TEXT(R21,"##")&amp;"～"&amp;TEXT(T21,"##")&amp;"号")</f>
        <v/>
      </c>
      <c r="G21" s="126">
        <f>IF(P20="","","製造会社名")</f>
        <v/>
      </c>
      <c r="I21" s="127">
        <f>IF(V21="","",V21)</f>
        <v/>
      </c>
      <c r="P21" s="128" t="n"/>
      <c r="Q21" s="253" t="n"/>
      <c r="R21" s="112" t="n"/>
      <c r="S21" s="112" t="inlineStr">
        <is>
          <t>～</t>
        </is>
      </c>
      <c r="T21" s="112" t="n"/>
      <c r="U21" s="125" t="inlineStr">
        <is>
          <t>号</t>
        </is>
      </c>
      <c r="V21" s="254" t="n"/>
      <c r="Y21" s="75" t="n"/>
      <c r="Z21" s="75" t="n"/>
    </row>
    <row r="22" ht="18.45" customHeight="1">
      <c r="B22" s="118">
        <f>IF(P22="","",P22&amp;" "&amp;Q22)</f>
        <v/>
      </c>
      <c r="G22" s="135">
        <f>IF(R22="","",R22)</f>
        <v/>
      </c>
      <c r="H22" s="136" t="n"/>
      <c r="I22" s="78">
        <f>IF(T22="","",T22)</f>
        <v/>
      </c>
      <c r="J22" s="78">
        <f>IF(U22="","",U22)</f>
        <v/>
      </c>
      <c r="K22" s="78">
        <f>IF(V22="","",V22)</f>
        <v/>
      </c>
      <c r="L22" s="78">
        <f>IF(W22="","",W22)</f>
        <v/>
      </c>
      <c r="M22" s="251">
        <f>IF(X22="","",X22)</f>
        <v/>
      </c>
      <c r="P22" s="123" t="n"/>
      <c r="Q22" s="123" t="inlineStr">
        <is>
          <t>スポット型</t>
        </is>
      </c>
      <c r="R22" s="113" t="n"/>
      <c r="T22" s="78" t="n"/>
      <c r="U22" s="78" t="n"/>
      <c r="V22" s="78" t="n"/>
      <c r="W22" s="180" t="n"/>
      <c r="X22" s="78" t="n"/>
      <c r="Y22" s="75" t="n"/>
      <c r="Z22" s="75" t="n"/>
    </row>
    <row r="23" ht="18.45" customHeight="1">
      <c r="B23" s="249">
        <f>IF(P22="","","型 式 番 号   感  第")</f>
        <v/>
      </c>
      <c r="E23" s="125">
        <f>IF(P22="","",TEXT(R23,"##")&amp;"～"&amp;TEXT(T23,"##")&amp;"号")</f>
        <v/>
      </c>
      <c r="G23" s="126">
        <f>IF(P22="","","製造会社名")</f>
        <v/>
      </c>
      <c r="I23" s="127">
        <f>IF(V23="","",V23)</f>
        <v/>
      </c>
      <c r="P23" s="128" t="n"/>
      <c r="Q23" s="253" t="n"/>
      <c r="R23" s="112" t="n"/>
      <c r="S23" s="112" t="inlineStr">
        <is>
          <t>～</t>
        </is>
      </c>
      <c r="T23" s="112" t="n"/>
      <c r="U23" s="112" t="inlineStr">
        <is>
          <t>号</t>
        </is>
      </c>
      <c r="V23" s="255" t="n"/>
      <c r="Y23" s="75" t="n"/>
      <c r="Z23" s="75" t="n"/>
    </row>
    <row r="24" ht="18.45" customHeight="1">
      <c r="A24" s="114" t="inlineStr">
        <is>
          <t>発　信　機</t>
        </is>
      </c>
      <c r="C24" s="56" t="inlineStr">
        <is>
          <t>屋内型</t>
        </is>
      </c>
      <c r="D24" s="140">
        <f>TEXT(P24,)&amp;"型"</f>
        <v/>
      </c>
      <c r="E24" s="140">
        <f>TEXT(R24,"＃＃")&amp;"級"</f>
        <v/>
      </c>
      <c r="F24" s="141">
        <f>TEXT(T24,"＃＃")&amp;"個"</f>
        <v/>
      </c>
      <c r="G24" s="142">
        <f>IF(W24="","型式番号　発第　号","型式番号　発第"&amp;W24&amp;"号")</f>
        <v/>
      </c>
      <c r="J24" s="143" t="inlineStr">
        <is>
          <t>製造会社名</t>
        </is>
      </c>
      <c r="L24" s="144">
        <f>IF(Z24="","",Z24)</f>
        <v/>
      </c>
      <c r="O24" s="145" t="inlineStr">
        <is>
          <t>屋内型</t>
        </is>
      </c>
      <c r="P24" s="188" t="n"/>
      <c r="Q24" s="147" t="inlineStr">
        <is>
          <t>型</t>
        </is>
      </c>
      <c r="R24" s="149" t="n"/>
      <c r="S24" s="149" t="inlineStr">
        <is>
          <t>級</t>
        </is>
      </c>
      <c r="T24" s="174" t="n"/>
      <c r="U24" s="147" t="inlineStr">
        <is>
          <t>個</t>
        </is>
      </c>
      <c r="V24" s="151" t="inlineStr">
        <is>
          <t>型式</t>
        </is>
      </c>
      <c r="W24" s="256" t="n"/>
      <c r="X24" s="153" t="inlineStr">
        <is>
          <t>製造会社名</t>
        </is>
      </c>
      <c r="Y24" s="151" t="n"/>
      <c r="Z24" s="208" t="n"/>
    </row>
    <row r="25" ht="18.45" customHeight="1">
      <c r="C25" s="5" t="inlineStr">
        <is>
          <t>屋外型</t>
        </is>
      </c>
      <c r="D25" s="155">
        <f>TEXT(P25,)&amp;"型"</f>
        <v/>
      </c>
      <c r="E25" s="155">
        <f>TEXT(R25,"＃＃")&amp;"級"</f>
        <v/>
      </c>
      <c r="F25" s="7">
        <f>TEXT(T25,"＃＃")&amp;"個"</f>
        <v/>
      </c>
      <c r="G25" s="156">
        <f>IF(W25="","型式番号　発第　号","型式番号　発第"&amp;W25&amp;"号")</f>
        <v/>
      </c>
      <c r="J25" s="157" t="inlineStr">
        <is>
          <t>製造会社名</t>
        </is>
      </c>
      <c r="L25" s="144">
        <f>IF(Z25="","",Z25)</f>
        <v/>
      </c>
      <c r="O25" s="145" t="inlineStr">
        <is>
          <t>屋外型</t>
        </is>
      </c>
      <c r="P25" s="188" t="n"/>
      <c r="Q25" s="147" t="inlineStr">
        <is>
          <t>型</t>
        </is>
      </c>
      <c r="R25" s="149" t="n"/>
      <c r="S25" s="149" t="inlineStr">
        <is>
          <t>級</t>
        </is>
      </c>
      <c r="T25" s="174" t="n"/>
      <c r="U25" s="147" t="inlineStr">
        <is>
          <t>個</t>
        </is>
      </c>
      <c r="V25" s="151" t="inlineStr">
        <is>
          <t>型式</t>
        </is>
      </c>
      <c r="W25" s="257" t="n"/>
      <c r="X25" s="159" t="inlineStr">
        <is>
          <t>製造会社名</t>
        </is>
      </c>
      <c r="Y25" s="160" t="n"/>
      <c r="Z25" s="258" t="n"/>
    </row>
    <row r="26" ht="18.45" customHeight="1">
      <c r="A26" s="78" t="inlineStr">
        <is>
          <t>表　示　灯</t>
        </is>
      </c>
      <c r="C26" s="162">
        <f>"DC(AC)　"&amp;TEXT(P26,"##")&amp;"V　"&amp;TEXT(R26,"##")&amp;"ｍA　"&amp;TEXT(T26,"##")&amp;"個"</f>
        <v/>
      </c>
      <c r="D26" s="163" t="n"/>
      <c r="E26" s="163" t="n"/>
      <c r="F26" s="163" t="n"/>
      <c r="G26" s="163" t="n"/>
      <c r="H26" s="163" t="n"/>
      <c r="I26" s="164" t="n"/>
      <c r="J26" s="149" t="n"/>
      <c r="K26" s="149" t="n"/>
      <c r="L26" s="165" t="n"/>
      <c r="M26" s="101" t="n"/>
      <c r="O26" s="123" t="inlineStr">
        <is>
          <t>表示灯</t>
        </is>
      </c>
      <c r="P26" s="99" t="n"/>
      <c r="Q26" s="101" t="inlineStr">
        <is>
          <t>V</t>
        </is>
      </c>
      <c r="R26" s="100" t="n"/>
      <c r="S26" s="100" t="inlineStr">
        <is>
          <t>ｍA</t>
        </is>
      </c>
      <c r="T26" s="99" t="n"/>
      <c r="U26" s="101" t="inlineStr">
        <is>
          <t>個</t>
        </is>
      </c>
      <c r="V26" s="75" t="n"/>
      <c r="W26" s="168" t="n"/>
      <c r="X26" s="75" t="n"/>
      <c r="Y26" s="75" t="n"/>
      <c r="Z26" s="75" t="n"/>
    </row>
    <row r="27" ht="18.45" customHeight="1">
      <c r="A27" s="93" t="inlineStr">
        <is>
          <t>中　　継　　器</t>
        </is>
      </c>
      <c r="B27" s="62" t="inlineStr">
        <is>
          <t>種　　　　　別</t>
        </is>
      </c>
      <c r="G27" s="169" t="inlineStr">
        <is>
          <t>回線数</t>
        </is>
      </c>
      <c r="H27" s="62" t="inlineStr">
        <is>
          <t>電　源　供　給　方　式</t>
        </is>
      </c>
      <c r="M27" s="169" t="inlineStr">
        <is>
          <t>設置台数</t>
        </is>
      </c>
      <c r="N27" s="15" t="n"/>
    </row>
    <row r="28" ht="18.45" customHeight="1">
      <c r="B28" s="170">
        <f>IF(Q28="","自動･遠隔･アナログ･その他（型式番号　中第　 　　号）","自動･遠隔･アナログ･その他（型式番号　中第　"&amp;Q28&amp;"号）")</f>
        <v/>
      </c>
      <c r="G28" s="171">
        <f>U28</f>
        <v/>
      </c>
      <c r="H28" s="170" t="inlineStr">
        <is>
          <t>専用（予備電源　 Ｖ 　AH）･受信機･その他（　　）</t>
        </is>
      </c>
      <c r="M28" s="78">
        <f>TEXT(X28,"＃＃")&amp;"台"</f>
        <v/>
      </c>
      <c r="N28" s="15" t="n"/>
      <c r="P28" s="15" t="inlineStr">
        <is>
          <t>中第</t>
        </is>
      </c>
      <c r="Q28" s="81" t="inlineStr">
        <is>
          <t>29-10</t>
        </is>
      </c>
      <c r="R28" s="15" t="inlineStr">
        <is>
          <t>号</t>
        </is>
      </c>
      <c r="T28" s="15" t="inlineStr">
        <is>
          <t>回線数</t>
        </is>
      </c>
      <c r="U28" s="81" t="inlineStr">
        <is>
          <t>1/1</t>
        </is>
      </c>
      <c r="V28" s="15" t="inlineStr">
        <is>
          <t>中継器</t>
        </is>
      </c>
      <c r="W28" s="259" t="inlineStr">
        <is>
          <t>設置台数</t>
        </is>
      </c>
      <c r="X28" s="21" t="n">
        <v>49</v>
      </c>
      <c r="Y28" s="15" t="inlineStr">
        <is>
          <t>台</t>
        </is>
      </c>
      <c r="Z28" s="260" t="n">
        <v>601</v>
      </c>
    </row>
    <row r="29" ht="18.45" customHeight="1">
      <c r="B29" s="170" t="inlineStr">
        <is>
          <t>自動･遠隔･アナログ･その他（型式番号　中第　　 　号）</t>
        </is>
      </c>
      <c r="G29" s="172" t="n"/>
      <c r="H29" s="170" t="inlineStr">
        <is>
          <t>専用（予備電源　 Ｖ 　AH）･受信機･その他（　　）</t>
        </is>
      </c>
      <c r="M29" s="145" t="n"/>
      <c r="N29" s="15" t="n"/>
      <c r="Q29" s="81" t="n"/>
      <c r="U29" s="81" t="n"/>
      <c r="X29" s="21" t="n"/>
      <c r="Z29" s="260" t="n">
        <v>1402</v>
      </c>
    </row>
    <row r="30" ht="18.45" customHeight="1">
      <c r="B30" s="170" t="inlineStr">
        <is>
          <t>自動･遠隔･アナログ･その他（型式番号　中第　　 　号）</t>
        </is>
      </c>
      <c r="G30" s="172" t="n"/>
      <c r="H30" s="170" t="inlineStr">
        <is>
          <t>専用（予備電源　 Ｖ 　AH）･受信機･その他（　　）</t>
        </is>
      </c>
      <c r="M30" s="145" t="n"/>
      <c r="N30" s="15" t="n"/>
    </row>
    <row r="31" ht="18.45" customHeight="1">
      <c r="B31" s="170" t="inlineStr">
        <is>
          <t>自動･遠隔･アナログ･その他（型式番号　中第　　 　号）</t>
        </is>
      </c>
      <c r="G31" s="172" t="n"/>
      <c r="H31" s="170" t="inlineStr">
        <is>
          <t>専用（予備電源　 Ｖ 　AH）･受信機･その他（　　）</t>
        </is>
      </c>
      <c r="M31" s="145" t="n"/>
      <c r="N31" s="15" t="n"/>
    </row>
    <row r="32" ht="18.45" customHeight="1">
      <c r="B32" s="170" t="inlineStr">
        <is>
          <t>自動･遠隔･アナログ･その他（型式番号　中第　　 　号）</t>
        </is>
      </c>
      <c r="G32" s="172" t="n"/>
      <c r="H32" s="170" t="inlineStr">
        <is>
          <t>専用（予備電源　 Ｖ 　AH）･受信機･その他（　　）</t>
        </is>
      </c>
      <c r="M32" s="145" t="n"/>
    </row>
    <row r="33" ht="18.45" customHeight="1">
      <c r="B33" s="170" t="inlineStr">
        <is>
          <t>自動･遠隔･アナログ･その他（型式番号　中第　　 　号）</t>
        </is>
      </c>
      <c r="G33" s="172" t="n"/>
      <c r="H33" s="170" t="inlineStr">
        <is>
          <t>専用（予備電源　 Ｖ 　AH）･受信機･その他（　　）</t>
        </is>
      </c>
      <c r="M33" s="145" t="n"/>
    </row>
    <row r="34" ht="18.45" customHeight="1">
      <c r="B34" s="170" t="inlineStr">
        <is>
          <t>自動･遠隔･アナログ･その他（型式番号　中第　　 　号）</t>
        </is>
      </c>
      <c r="G34" s="172" t="n"/>
      <c r="H34" s="170" t="inlineStr">
        <is>
          <t>専用（予備電源　 Ｖ 　AH）･受信機･その他（　　）</t>
        </is>
      </c>
      <c r="M34" s="145" t="n"/>
    </row>
    <row r="35" ht="18.45" customHeight="1">
      <c r="B35" s="170" t="inlineStr">
        <is>
          <t>自動･遠隔･アナログ･その他（型式番号　中第　　 　号）</t>
        </is>
      </c>
      <c r="G35" s="172" t="n"/>
      <c r="H35" s="170" t="inlineStr">
        <is>
          <t>専用（予備電源　 Ｖ 　AH）･受信機･その他（　　）</t>
        </is>
      </c>
      <c r="M35" s="145" t="n"/>
    </row>
    <row r="36" ht="18.45" customHeight="1">
      <c r="B36" s="170" t="inlineStr">
        <is>
          <t>自動･遠隔･アナログ･その他（型式番号　中第　　 　号）</t>
        </is>
      </c>
      <c r="G36" s="172" t="n"/>
      <c r="H36" s="170" t="inlineStr">
        <is>
          <t>専用（予備電源　 Ｖ 　AH）･受信機･その他（　　）</t>
        </is>
      </c>
      <c r="M36" s="145" t="n"/>
    </row>
    <row r="37" ht="18.45" customHeight="1">
      <c r="B37" s="170" t="inlineStr">
        <is>
          <t>自動･遠隔･アナログ･その他（型式番号　中第　　 　号）</t>
        </is>
      </c>
      <c r="G37" s="172" t="n"/>
      <c r="H37" s="170" t="inlineStr">
        <is>
          <t>専用（予備電源　 Ｖ 　AH）･受信機･その他（　　）</t>
        </is>
      </c>
      <c r="M37" s="145" t="n"/>
    </row>
    <row r="38" ht="18.45" customHeight="1">
      <c r="B38" s="78" t="inlineStr">
        <is>
          <t>製　　造　　会　　社　　名</t>
        </is>
      </c>
      <c r="G38" s="139">
        <f>IF(R38="","",R38)</f>
        <v/>
      </c>
      <c r="P38" s="174" t="inlineStr">
        <is>
          <t>製造会社名</t>
        </is>
      </c>
      <c r="Q38" s="147" t="n"/>
      <c r="R38" s="92" t="inlineStr">
        <is>
          <t>パナソニック㈱</t>
        </is>
      </c>
    </row>
    <row r="39">
      <c r="A39" s="75" t="n"/>
    </row>
    <row r="40">
      <c r="A40" s="75" t="n"/>
    </row>
  </sheetData>
  <mergeCells count="108">
    <mergeCell ref="B11:D11"/>
    <mergeCell ref="G21:H21"/>
    <mergeCell ref="B16:F16"/>
    <mergeCell ref="E23:F23"/>
    <mergeCell ref="G23:H23"/>
    <mergeCell ref="B18:F18"/>
    <mergeCell ref="B27:F27"/>
    <mergeCell ref="G24:I24"/>
    <mergeCell ref="R6:S6"/>
    <mergeCell ref="B3:H3"/>
    <mergeCell ref="R12:S12"/>
    <mergeCell ref="B34:F34"/>
    <mergeCell ref="B28:F28"/>
    <mergeCell ref="B37:F37"/>
    <mergeCell ref="V21:X21"/>
    <mergeCell ref="G38:M38"/>
    <mergeCell ref="I17:M17"/>
    <mergeCell ref="B30:F30"/>
    <mergeCell ref="R38:T38"/>
    <mergeCell ref="B6:F6"/>
    <mergeCell ref="B20:F20"/>
    <mergeCell ref="V23:X23"/>
    <mergeCell ref="I19:M19"/>
    <mergeCell ref="V13:X13"/>
    <mergeCell ref="R18:S18"/>
    <mergeCell ref="R8:S8"/>
    <mergeCell ref="I9:M9"/>
    <mergeCell ref="H29:L29"/>
    <mergeCell ref="P2:X2"/>
    <mergeCell ref="B17:D17"/>
    <mergeCell ref="E5:F5"/>
    <mergeCell ref="R10:S10"/>
    <mergeCell ref="I11:M11"/>
    <mergeCell ref="H31:L31"/>
    <mergeCell ref="R16:S16"/>
    <mergeCell ref="B19:D19"/>
    <mergeCell ref="G7:H7"/>
    <mergeCell ref="B9:D9"/>
    <mergeCell ref="B8:F8"/>
    <mergeCell ref="A26:B26"/>
    <mergeCell ref="B5:D5"/>
    <mergeCell ref="I21:M21"/>
    <mergeCell ref="B10:F10"/>
    <mergeCell ref="I23:M23"/>
    <mergeCell ref="V17:X17"/>
    <mergeCell ref="A24:B25"/>
    <mergeCell ref="V5:X5"/>
    <mergeCell ref="B21:D21"/>
    <mergeCell ref="R14:S14"/>
    <mergeCell ref="G9:H9"/>
    <mergeCell ref="B4:F4"/>
    <mergeCell ref="H30:L30"/>
    <mergeCell ref="B23:D23"/>
    <mergeCell ref="G11:H11"/>
    <mergeCell ref="B13:D13"/>
    <mergeCell ref="B31:F31"/>
    <mergeCell ref="V15:X15"/>
    <mergeCell ref="J24:K24"/>
    <mergeCell ref="L24:M24"/>
    <mergeCell ref="E13:F13"/>
    <mergeCell ref="G13:H13"/>
    <mergeCell ref="V7:X7"/>
    <mergeCell ref="E15:F15"/>
    <mergeCell ref="R20:S20"/>
    <mergeCell ref="G15:H15"/>
    <mergeCell ref="H32:L32"/>
    <mergeCell ref="J25:K25"/>
    <mergeCell ref="L25:M25"/>
    <mergeCell ref="A3:A23"/>
    <mergeCell ref="I5:M5"/>
    <mergeCell ref="R22:S22"/>
    <mergeCell ref="H27:L27"/>
    <mergeCell ref="E7:F7"/>
    <mergeCell ref="I13:M13"/>
    <mergeCell ref="H33:L33"/>
    <mergeCell ref="B36:F36"/>
    <mergeCell ref="V19:X19"/>
    <mergeCell ref="I15:M15"/>
    <mergeCell ref="H35:L35"/>
    <mergeCell ref="V9:X9"/>
    <mergeCell ref="P3:S3"/>
    <mergeCell ref="B22:F22"/>
    <mergeCell ref="E17:F17"/>
    <mergeCell ref="R4:S4"/>
    <mergeCell ref="G17:H17"/>
    <mergeCell ref="H34:L34"/>
    <mergeCell ref="V11:X11"/>
    <mergeCell ref="B12:F12"/>
    <mergeCell ref="I7:M7"/>
    <mergeCell ref="E19:F19"/>
    <mergeCell ref="G19:H19"/>
    <mergeCell ref="H36:L36"/>
    <mergeCell ref="B14:F14"/>
    <mergeCell ref="B15:D15"/>
    <mergeCell ref="E9:F9"/>
    <mergeCell ref="G25:I25"/>
    <mergeCell ref="B29:F29"/>
    <mergeCell ref="B38:F38"/>
    <mergeCell ref="E11:F11"/>
    <mergeCell ref="G5:H5"/>
    <mergeCell ref="H28:L28"/>
    <mergeCell ref="H37:L37"/>
    <mergeCell ref="B7:D7"/>
    <mergeCell ref="A27:A38"/>
    <mergeCell ref="B33:F33"/>
    <mergeCell ref="B32:F32"/>
    <mergeCell ref="E21:F21"/>
    <mergeCell ref="B35:F35"/>
  </mergeCells>
  <dataValidations count="7">
    <dataValidation sqref="T4:V4 T6:V6 T8:V8 T10:V10 T12:V12 T14:V14 T16:V16 T18:V18 T20:V20 T22:V22" showDropDown="0" showInputMessage="1" showErrorMessage="1" allowBlank="1" type="list">
      <formula1>$AE$2:$AE$3</formula1>
    </dataValidation>
    <dataValidation sqref="V5:X5 V7:X7 V9:X9 V11:X11 V13:X13 V15:X15 V17:X17 V19:X19 V21:X21 V23:X23 Z24:Z25" showDropDown="0" showInputMessage="1" showErrorMessage="1" allowBlank="1" type="list">
      <formula1>$AG$2:$AG$5</formula1>
    </dataValidation>
    <dataValidation sqref="W4 W6 W8 W10 W12 W14 W16 W18 W20 W22" showDropDown="0" showInputMessage="1" showErrorMessage="1" allowBlank="1" type="list">
      <formula1>$AF$2:$AF$5</formula1>
    </dataValidation>
    <dataValidation sqref="R4 R6 R8 R10 R12 R14 R16 R18 R20 R22" showDropDown="0" showInputMessage="1" showErrorMessage="1" allowBlank="1" type="list">
      <formula1>$AC$2:$AC$6</formula1>
    </dataValidation>
    <dataValidation sqref="P4 P6 P8 P10 P12 P14 P16 P18 P20 P22" showDropDown="0" showInputMessage="1" showErrorMessage="1" allowBlank="1" type="list">
      <formula1>$AB$2:$AB$4</formula1>
    </dataValidation>
    <dataValidation sqref="N1" showDropDown="0" showInputMessage="1" showErrorMessage="1" allowBlank="1" type="list">
      <formula1>"パナソニック㈱,ニッタン,能美防災,ホーチキ"</formula1>
    </dataValidation>
    <dataValidation sqref="R38:T38" showDropDown="0" showInputMessage="1" showErrorMessage="1" allowBlank="1" type="list">
      <formula1>$AG$2:$AG$6</formula1>
    </dataValidation>
  </dataValidations>
  <pageMargins left="0.7086614173228347" right="0.7086614173228347" top="0.7480314960629921" bottom="0.7480314960629921" header="0.3149606299212598" footer="0.3149606299212598"/>
  <pageSetup orientation="portrait" paperSize="9" fitToWidth="0"/>
</worksheet>
</file>

<file path=xl/worksheets/sheet6.xml><?xml version="1.0" encoding="utf-8"?>
<worksheet xmlns="http://schemas.openxmlformats.org/spreadsheetml/2006/main">
  <sheetPr>
    <tabColor theme="9"/>
    <outlinePr summaryBelow="1" summaryRight="1"/>
    <pageSetUpPr fitToPage="1"/>
  </sheetPr>
  <dimension ref="A1:AA46"/>
  <sheetViews>
    <sheetView workbookViewId="0">
      <selection activeCell="A1" sqref="A1"/>
    </sheetView>
  </sheetViews>
  <sheetFormatPr baseColWidth="8" defaultRowHeight="15"/>
  <cols>
    <col width="3.69921875" customWidth="1" min="1" max="1"/>
    <col width="6.19921875" customWidth="1" min="2" max="2"/>
    <col width="8.19921875" customWidth="1" min="6" max="6"/>
    <col width="6.19921875" customWidth="1" min="7" max="7"/>
    <col width="7.59765625" customWidth="1" min="15" max="15"/>
    <col width="6.19921875" customWidth="1" min="16" max="16"/>
    <col width="4" customWidth="1" min="17" max="17"/>
    <col width="6.19921875" customWidth="1" min="25" max="25"/>
  </cols>
  <sheetData>
    <row r="1" ht="17.4" customHeight="1">
      <c r="A1" s="15" t="inlineStr">
        <is>
          <t xml:space="preserve">別記様式５　</t>
        </is>
      </c>
      <c r="B1" s="15" t="n"/>
      <c r="C1" s="15" t="n"/>
      <c r="D1" s="15" t="n"/>
      <c r="E1" s="15" t="n"/>
      <c r="F1" s="15" t="n"/>
      <c r="G1" s="15" t="n"/>
      <c r="H1" s="15" t="n"/>
      <c r="I1" s="15" t="n"/>
      <c r="J1" s="15" t="n"/>
      <c r="K1" s="15" t="n"/>
      <c r="L1" s="15" t="n"/>
      <c r="M1" s="104" t="inlineStr">
        <is>
          <t>【住戸部】</t>
        </is>
      </c>
    </row>
    <row r="2" ht="17.4" customHeight="1">
      <c r="A2" s="76" t="inlineStr">
        <is>
          <t>自 動 火 災 報 知 設 備 の 概 要 表</t>
        </is>
      </c>
      <c r="L2" s="107" t="n"/>
      <c r="M2" s="104" t="inlineStr">
        <is>
          <t>（その２）</t>
        </is>
      </c>
      <c r="P2" s="75" t="inlineStr">
        <is>
          <t>入力フォーム</t>
        </is>
      </c>
    </row>
    <row r="3" ht="17.4" customHeight="1">
      <c r="A3" s="177" t="inlineStr">
        <is>
          <t>受　信　機</t>
        </is>
      </c>
      <c r="B3" s="178" t="inlineStr">
        <is>
          <t>蓄積式・二信号式・アナログ式・自動試験機能付き・遠隔試験機能付き・その他（　　　　　　　　）</t>
        </is>
      </c>
      <c r="O3" s="78" t="inlineStr">
        <is>
          <t>P・GP</t>
        </is>
      </c>
      <c r="Q3" s="150" t="n">
        <v>3</v>
      </c>
      <c r="R3" s="147" t="inlineStr">
        <is>
          <t>級</t>
        </is>
      </c>
      <c r="S3" s="78" t="inlineStr">
        <is>
          <t>回線</t>
        </is>
      </c>
      <c r="U3" s="179" t="inlineStr">
        <is>
          <t>1/1</t>
        </is>
      </c>
    </row>
    <row r="4" ht="17.4" customHeight="1">
      <c r="B4" s="178">
        <f>"Ｐ･GP型"&amp;Q3&amp;"級 "&amp;U3&amp;" 回線 　台 Ｒ･GR型　自火報点数　　点　その他（　 　）点数　点　予備点数　点"</f>
        <v/>
      </c>
      <c r="S4" s="15" t="n"/>
      <c r="T4" s="15" t="n"/>
      <c r="U4" s="15" t="n"/>
      <c r="V4" s="15" t="n"/>
    </row>
    <row r="5" ht="17.4" customHeight="1">
      <c r="B5" s="178">
        <f>IF(R5="","予備電源（DC     Ｖ　　AH）","予備電源（DC "&amp;R5&amp;"V  " &amp;T5&amp;"AH）")</f>
        <v/>
      </c>
      <c r="F5" s="186" t="inlineStr">
        <is>
          <t>設置場所</t>
        </is>
      </c>
      <c r="H5" s="187">
        <f>IF(Y5="","",Y5)</f>
        <v/>
      </c>
      <c r="O5" s="78" t="inlineStr">
        <is>
          <t>予備電源</t>
        </is>
      </c>
      <c r="Q5" s="188" t="inlineStr">
        <is>
          <t>DC</t>
        </is>
      </c>
      <c r="R5" s="189" t="n"/>
      <c r="S5" s="136" t="inlineStr">
        <is>
          <t>V</t>
        </is>
      </c>
      <c r="T5" s="150" t="n"/>
      <c r="U5" s="136" t="n"/>
      <c r="V5" s="15" t="n"/>
      <c r="W5" s="153" t="inlineStr">
        <is>
          <t>設置場所</t>
        </is>
      </c>
      <c r="X5" s="151" t="n"/>
      <c r="Y5" s="124" t="inlineStr">
        <is>
          <t>各住戸リビング</t>
        </is>
      </c>
    </row>
    <row r="6" ht="17.4" customHeight="1">
      <c r="B6" s="192" t="inlineStr">
        <is>
          <t>型式番号</t>
        </is>
      </c>
      <c r="C6" s="193">
        <f>"受第"&amp;TEXT(Q6,"##")&amp;"～"&amp;TEXT(T6,"##")&amp;"号"</f>
        <v/>
      </c>
      <c r="F6" s="194" t="inlineStr">
        <is>
          <t>製造会社名</t>
        </is>
      </c>
      <c r="H6" s="187">
        <f>IF(Y6="","",Y6)</f>
        <v/>
      </c>
      <c r="O6" s="78" t="inlineStr">
        <is>
          <t>型式番号</t>
        </is>
      </c>
      <c r="Q6" s="195" t="n">
        <v>2020</v>
      </c>
      <c r="S6" s="149" t="inlineStr">
        <is>
          <t>～</t>
        </is>
      </c>
      <c r="T6" s="196" t="n">
        <v>2</v>
      </c>
      <c r="V6" s="149" t="inlineStr">
        <is>
          <t>号</t>
        </is>
      </c>
      <c r="W6" s="153" t="inlineStr">
        <is>
          <t>会社名</t>
        </is>
      </c>
      <c r="X6" s="151" t="n"/>
      <c r="Y6" s="124" t="inlineStr">
        <is>
          <t>パナソニック㈱</t>
        </is>
      </c>
    </row>
    <row r="7" ht="17.4" customHeight="1">
      <c r="A7" s="186" t="inlineStr">
        <is>
          <t>表示器</t>
        </is>
      </c>
      <c r="C7" s="178">
        <f>IF(U3="","　　/　　　 回線   　　台　自火報点数　　 点　その他点数　　 点　予備点数　　 点","  "&amp;TEXT(U3,"m/d")&amp;"　　 回線   　"&amp;TEXT(Q7,"##")&amp;"台　自火報点数　　 点　その他点数　　 点　予備点数　　 点")</f>
        <v/>
      </c>
      <c r="O7" s="78" t="inlineStr">
        <is>
          <t>台数</t>
        </is>
      </c>
      <c r="Q7" s="150" t="n">
        <v>51</v>
      </c>
      <c r="R7" s="147" t="inlineStr">
        <is>
          <t>台</t>
        </is>
      </c>
    </row>
    <row r="8" ht="17.4" customHeight="1">
      <c r="C8" s="197" t="inlineStr">
        <is>
          <t xml:space="preserve">　　/　　　 回線   　　台　自火報点数　　 点　その他点数　　 点　予備点数　　 点</t>
        </is>
      </c>
      <c r="O8" s="75" t="n"/>
    </row>
    <row r="9" ht="17.4" customHeight="1">
      <c r="A9" s="198" t="inlineStr">
        <is>
          <t>電　　源</t>
        </is>
      </c>
      <c r="B9" s="199" t="inlineStr">
        <is>
          <t>常用電源</t>
        </is>
      </c>
      <c r="D9" s="197" t="inlineStr">
        <is>
          <t>単相・三相　AC　100 Ｖ　非常電源専用受電設備回路・電灯回路・動力回路</t>
        </is>
      </c>
    </row>
    <row r="10" ht="17.4" customHeight="1">
      <c r="D10" s="178" t="inlineStr">
        <is>
          <t>DC　　　Ｖ　　　AH　充電方式（トリクル・浮動）　使用別（専用・共用（　　　））</t>
        </is>
      </c>
    </row>
    <row r="11" ht="17.4" customHeight="1">
      <c r="B11" s="186" t="inlineStr">
        <is>
          <t>非常電源</t>
        </is>
      </c>
      <c r="D11" s="178" t="inlineStr">
        <is>
          <t>非常電源専用受電設備　単相・三相　AC　　　Ｖ</t>
        </is>
      </c>
      <c r="N11" s="200" t="n"/>
      <c r="O11" s="200" t="n"/>
      <c r="P11" s="200" t="n"/>
    </row>
    <row r="12" ht="17.4" customHeight="1">
      <c r="D12" s="187" t="inlineStr">
        <is>
          <t>蓄電池設備　DC　Ｖ　AH　充電方式（トリクル・浮動）　使用別（専用・共用（　　　））</t>
        </is>
      </c>
      <c r="N12" s="200" t="n"/>
      <c r="O12" s="201" t="n"/>
      <c r="P12" s="201" t="n"/>
      <c r="Q12" s="201" t="n"/>
      <c r="R12" s="201" t="n"/>
      <c r="S12" s="201" t="n"/>
      <c r="T12" s="201" t="n"/>
      <c r="U12" s="201" t="n"/>
      <c r="V12" s="201" t="n"/>
      <c r="W12" s="201" t="n"/>
      <c r="X12" s="201" t="n"/>
    </row>
    <row r="13" ht="17.4" customHeight="1">
      <c r="A13" s="93" t="inlineStr">
        <is>
          <t>音　　響　　装　　置</t>
        </is>
      </c>
      <c r="B13" s="202" t="inlineStr">
        <is>
          <t>主音響装置
（内蔵されている物は除く）</t>
        </is>
      </c>
      <c r="D13" s="203" t="inlineStr">
        <is>
          <t>ベル・サイレン・電子ブザー・音声合成・その他（　　　　　　　　　　　　　　　）</t>
        </is>
      </c>
      <c r="E13" s="203" t="n"/>
      <c r="F13" s="203" t="n"/>
      <c r="G13" s="203" t="n"/>
      <c r="H13" s="203" t="n"/>
      <c r="I13" s="203" t="n"/>
      <c r="J13" s="203" t="n"/>
      <c r="K13" s="203" t="n"/>
      <c r="L13" s="203" t="n"/>
      <c r="M13" s="203" t="n"/>
      <c r="N13" s="200" t="n"/>
      <c r="O13" s="204" t="inlineStr">
        <is>
          <t>鐘径</t>
        </is>
      </c>
      <c r="Q13" s="261" t="n"/>
      <c r="S13" s="206" t="inlineStr">
        <is>
          <t>ｍｍ</t>
        </is>
      </c>
      <c r="T13" s="206" t="n"/>
    </row>
    <row r="14" ht="17.4" customHeight="1">
      <c r="D14" s="178">
        <f>IF(Q13="","鐘径　　　　mm","鐘径　"&amp;Q13&amp;" mm")</f>
        <v/>
      </c>
      <c r="F14" s="178">
        <f>IF(Q14="","  定格　　DC　　Ｖ　　mA　　個　　dB","　　定格　DC "&amp;Q14&amp;"V  " &amp;S14&amp;"mA  "&amp;U14&amp;"個  "&amp;W14&amp;"dB")</f>
        <v/>
      </c>
      <c r="K14" s="207" t="n"/>
      <c r="N14" s="200" t="n"/>
      <c r="O14" s="208" t="inlineStr">
        <is>
          <t>定格</t>
        </is>
      </c>
      <c r="P14" s="151" t="inlineStr">
        <is>
          <t>DC</t>
        </is>
      </c>
      <c r="Q14" s="151" t="n"/>
      <c r="R14" s="151" t="inlineStr">
        <is>
          <t>V</t>
        </is>
      </c>
      <c r="S14" s="262" t="n"/>
      <c r="T14" s="182" t="inlineStr">
        <is>
          <t>mA</t>
        </is>
      </c>
      <c r="U14" s="263" t="n"/>
      <c r="V14" s="151" t="inlineStr">
        <is>
          <t>個</t>
        </is>
      </c>
      <c r="W14" s="153" t="n"/>
      <c r="X14" s="182" t="inlineStr">
        <is>
          <t>dB</t>
        </is>
      </c>
    </row>
    <row r="15" ht="17.4" customHeight="1">
      <c r="D15" s="213">
        <f>IF(COUNTA(Q15,S15)=0,"型式番号（　　　　　　　　号）","型式番号  ("&amp;IF(Q15="","","認評音第 "&amp;Q15&amp;"号")&amp;IF(S15="",""," "&amp;S15&amp;"号")&amp;"）")</f>
        <v/>
      </c>
      <c r="H15" s="194" t="inlineStr">
        <is>
          <t>製造会社名</t>
        </is>
      </c>
      <c r="J15" s="194">
        <f>IF(W15="","",W15)</f>
        <v/>
      </c>
      <c r="L15" s="214" t="n"/>
      <c r="N15" s="200" t="n"/>
      <c r="O15" s="112" t="inlineStr">
        <is>
          <t>認評音第</t>
        </is>
      </c>
      <c r="Q15" s="264" t="n"/>
      <c r="S15" s="264" t="n"/>
      <c r="U15" s="216" t="inlineStr">
        <is>
          <t>会社名</t>
        </is>
      </c>
      <c r="V15" s="201" t="n"/>
      <c r="W15" s="180" t="n"/>
    </row>
    <row r="16" ht="17.4" customHeight="1">
      <c r="B16" s="186" t="inlineStr">
        <is>
          <t>地区音響装置</t>
        </is>
      </c>
      <c r="D16" s="217">
        <f>IF(COUNTA(Q16,S16)=0,"型式番号（　　　　　　　　号）","型式番号  ("&amp;IF(Q16="","","認評音第 "&amp;Q16&amp;"号")&amp;IF(S16="",""," "&amp;S16&amp;"号")&amp;"）")</f>
        <v/>
      </c>
      <c r="E16" s="218" t="n"/>
      <c r="F16" s="218" t="n"/>
      <c r="G16" s="218" t="n"/>
      <c r="H16" s="219" t="n"/>
      <c r="I16" s="186" t="inlineStr">
        <is>
          <t>製造会社名</t>
        </is>
      </c>
      <c r="K16" s="178">
        <f>IF(W16="","",W16)</f>
        <v/>
      </c>
      <c r="N16" s="200" t="n"/>
      <c r="O16" s="113" t="inlineStr">
        <is>
          <t>認評音第</t>
        </is>
      </c>
      <c r="Q16" s="265" t="n"/>
      <c r="S16" s="265" t="n"/>
      <c r="U16" s="75" t="inlineStr">
        <is>
          <t>会社名</t>
        </is>
      </c>
      <c r="W16" s="180" t="n"/>
    </row>
    <row r="17" ht="17.4" customHeight="1">
      <c r="D17" s="178" t="inlineStr">
        <is>
          <t>ベル・サイレン・電子ブザー・スピーカー・その他（　　　　　　　　　　　　　）</t>
        </is>
      </c>
      <c r="N17" s="200" t="n"/>
      <c r="O17" s="223" t="inlineStr">
        <is>
          <t>鐘径</t>
        </is>
      </c>
      <c r="Q17" s="266" t="n"/>
      <c r="S17" s="267" t="inlineStr">
        <is>
          <t>ｍｍ</t>
        </is>
      </c>
      <c r="T17" s="267" t="n"/>
    </row>
    <row r="18" ht="17.4" customHeight="1">
      <c r="D18" s="178">
        <f>IF(Q17="","鐘径　　　　mm","鐘径　"&amp;Q17&amp;" mm")</f>
        <v/>
      </c>
      <c r="F18" s="178">
        <f>IF(Q18="","　　定格　　DC　　　　Ｖ　　　 mA　　　　個　　　　dB","　　定格　DC "&amp;Q18&amp;"V  " &amp;S18&amp;"mA  "&amp;U18&amp;"個  "&amp;W18&amp;"dB")</f>
        <v/>
      </c>
      <c r="N18" s="200" t="n"/>
      <c r="O18" s="268" t="inlineStr">
        <is>
          <t>定格</t>
        </is>
      </c>
      <c r="P18" s="269" t="inlineStr">
        <is>
          <t>DC</t>
        </is>
      </c>
      <c r="Q18" s="269" t="n"/>
      <c r="R18" s="269" t="inlineStr">
        <is>
          <t>V</t>
        </is>
      </c>
      <c r="S18" s="270" t="n"/>
      <c r="T18" s="271" t="inlineStr">
        <is>
          <t>mA</t>
        </is>
      </c>
      <c r="U18" s="272" t="n"/>
      <c r="V18" s="269" t="inlineStr">
        <is>
          <t>個</t>
        </is>
      </c>
      <c r="W18" s="273" t="n"/>
      <c r="X18" s="271" t="inlineStr">
        <is>
          <t>dB</t>
        </is>
      </c>
      <c r="Y18" s="269" t="n"/>
    </row>
    <row r="19" ht="17.4" customHeight="1">
      <c r="B19" s="199" t="inlineStr">
        <is>
          <t>音声切替装置</t>
        </is>
      </c>
      <c r="D19" s="197" t="inlineStr">
        <is>
          <t>型式番号（　　　　　号）　DC　　　Ｖ</t>
        </is>
      </c>
      <c r="I19" s="199" t="inlineStr">
        <is>
          <t>製造会社名</t>
        </is>
      </c>
      <c r="K19" s="178">
        <f>IF(W19="","",W19)</f>
        <v/>
      </c>
      <c r="N19" s="200" t="n"/>
      <c r="U19" s="75" t="inlineStr">
        <is>
          <t>会社名</t>
        </is>
      </c>
      <c r="W19" s="204" t="n"/>
    </row>
    <row r="20" ht="17.4" customHeight="1">
      <c r="D20" s="226" t="inlineStr">
        <is>
          <t>常用電源</t>
        </is>
      </c>
      <c r="E20" s="178" t="inlineStr">
        <is>
          <t>単相　　AC　　Ｖ　非常電源専用受電設備回路・電灯回路</t>
        </is>
      </c>
      <c r="N20" s="200" t="n"/>
    </row>
    <row r="21" ht="17.4" customHeight="1">
      <c r="D21" s="226" t="inlineStr">
        <is>
          <t>非常電源</t>
        </is>
      </c>
      <c r="E21" s="178" t="inlineStr">
        <is>
          <t>蓄電池設備　　DC　　Ｖ　　AH　　充電方式（トリクル・浮動）</t>
        </is>
      </c>
      <c r="N21" s="200" t="n"/>
    </row>
    <row r="22" ht="17.4" customHeight="1">
      <c r="A22" s="177" t="inlineStr">
        <is>
          <t>配　線</t>
        </is>
      </c>
      <c r="B22" s="186" t="inlineStr">
        <is>
          <t>常用電源回路</t>
        </is>
      </c>
      <c r="D22" s="178" t="inlineStr">
        <is>
          <t>ケーブル露出・電線管露出・電線管埋設・その他（　　　　　　　　　　　　　　　）</t>
        </is>
      </c>
      <c r="N22" s="227" t="n"/>
      <c r="O22" s="227" t="n"/>
      <c r="P22" s="227" t="n"/>
    </row>
    <row r="23" ht="17.4" customHeight="1">
      <c r="B23" s="186" t="inlineStr">
        <is>
          <t>非常電源回路</t>
        </is>
      </c>
      <c r="D23" s="178" t="inlineStr">
        <is>
          <t>耐火電線・電線管露出・電線管埋設・その他（　　　　　　　　　　　　　　　）</t>
        </is>
      </c>
      <c r="N23" s="227" t="n"/>
      <c r="O23" s="227" t="n"/>
      <c r="P23" s="227" t="n"/>
    </row>
    <row r="24" ht="17.4" customHeight="1">
      <c r="B24" s="186" t="inlineStr">
        <is>
          <t>警報回路</t>
        </is>
      </c>
      <c r="D24" s="178" t="inlineStr">
        <is>
          <t>耐火電線・電線管露出・電線管埋設・その他（　　　　　　　　　　　　　　　）</t>
        </is>
      </c>
      <c r="N24" s="227" t="n"/>
      <c r="O24" s="227" t="n"/>
      <c r="P24" s="227" t="n"/>
    </row>
    <row r="25" ht="17.4" customHeight="1">
      <c r="B25" s="186" t="inlineStr">
        <is>
          <t>その他回路</t>
        </is>
      </c>
      <c r="D25" s="178" t="inlineStr">
        <is>
          <t>IV電線・ケーブル露出・電線管露出・電線管埋設・その他（　　　　　　　　　　　）</t>
        </is>
      </c>
      <c r="N25" s="227" t="n"/>
      <c r="O25" s="227" t="n"/>
      <c r="P25" s="227" t="n"/>
    </row>
    <row r="26" ht="17.4" customHeight="1">
      <c r="A26" s="199" t="inlineStr">
        <is>
          <t>関連設備</t>
        </is>
      </c>
      <c r="D26" s="228">
        <f>IF(P26="","",P26)</f>
        <v/>
      </c>
      <c r="N26" s="200" t="n"/>
      <c r="O26" s="200" t="inlineStr">
        <is>
          <t>関連設備</t>
        </is>
      </c>
      <c r="P26" s="229" t="inlineStr">
        <is>
          <t>インターホン設備</t>
        </is>
      </c>
    </row>
    <row r="27" ht="17.4" customHeight="1">
      <c r="D27" s="228">
        <f>IF(P27="","",P27)</f>
        <v/>
      </c>
      <c r="N27" s="200" t="n"/>
      <c r="O27" s="200" t="n"/>
      <c r="P27" s="229" t="n"/>
    </row>
    <row r="28" ht="17.4" customHeight="1">
      <c r="A28" s="186" t="inlineStr">
        <is>
          <t>工事者区分</t>
        </is>
      </c>
      <c r="D28" s="178" t="inlineStr">
        <is>
          <t>電源工事</t>
        </is>
      </c>
      <c r="F28" s="178" t="n"/>
      <c r="N28" s="200" t="n"/>
      <c r="O28" s="200" t="n"/>
      <c r="P28" s="200" t="n"/>
    </row>
    <row r="29" ht="17.4" customHeight="1">
      <c r="D29" s="178" t="inlineStr">
        <is>
          <t>配線工事</t>
        </is>
      </c>
      <c r="F29" s="178" t="n"/>
      <c r="N29" s="200" t="n"/>
      <c r="O29" s="200" t="n"/>
      <c r="P29" s="200" t="n"/>
    </row>
    <row r="30" ht="17.4" customHeight="1">
      <c r="D30" s="178" t="inlineStr">
        <is>
          <t>配線工事</t>
        </is>
      </c>
      <c r="F30" s="178" t="n"/>
      <c r="N30" s="200" t="n"/>
      <c r="O30" s="200" t="n"/>
      <c r="P30" s="200" t="inlineStr">
        <is>
          <t>メモ</t>
        </is>
      </c>
    </row>
    <row r="31" ht="17.4" customHeight="1">
      <c r="D31" s="178" t="inlineStr">
        <is>
          <t>配線工事</t>
        </is>
      </c>
      <c r="F31" s="178" t="n"/>
      <c r="N31" s="230" t="n"/>
      <c r="O31" s="230" t="n"/>
      <c r="P31" s="274" t="inlineStr">
        <is>
          <t>※住戸用自動火災報知設備更新工事。</t>
        </is>
      </c>
    </row>
    <row r="32" ht="17.4" customHeight="1">
      <c r="D32" s="178" t="inlineStr">
        <is>
          <t>機器の取付工事</t>
        </is>
      </c>
      <c r="F32" s="178" t="inlineStr">
        <is>
          <t>株式会社　ＴＳＣアクセス・プロ</t>
        </is>
      </c>
      <c r="N32" s="230" t="n"/>
      <c r="O32" s="230" t="n"/>
      <c r="P32" s="275" t="inlineStr">
        <is>
          <t xml:space="preserve">   全住戸（17戸）のGP３級受信機・遠隔試験中継器内蔵ドアホン子器交換工事。</t>
        </is>
      </c>
    </row>
    <row r="33" ht="17.4" customHeight="1">
      <c r="A33" s="231" t="inlineStr">
        <is>
          <t>そ の 他</t>
        </is>
      </c>
      <c r="B33" s="276" t="inlineStr">
        <is>
          <t>全住戸（51戸）のGP３級受信機・遠隔試験中継器内蔵ドアホン子器交換工事。</t>
        </is>
      </c>
      <c r="N33" s="230" t="n"/>
      <c r="O33" s="230" t="n"/>
    </row>
    <row r="34" ht="17.4" customHeight="1">
      <c r="B34" s="277" t="n"/>
      <c r="N34" s="230" t="n"/>
      <c r="O34" s="230" t="n"/>
      <c r="P34" s="200" t="inlineStr">
        <is>
          <t xml:space="preserve">   全住戸（45戸）のGP３級受信機・遠隔試験中継器内蔵ドアホン子器交換工事。</t>
        </is>
      </c>
    </row>
    <row r="35" ht="17.4" customHeight="1">
      <c r="B35" s="278" t="n"/>
      <c r="N35" s="230" t="n"/>
      <c r="O35" s="230" t="n"/>
      <c r="P35" s="279" t="inlineStr">
        <is>
          <t xml:space="preserve">　　管理人室のGP３級受信機・遠隔試験中継器内蔵ドアホン子器交換工事。</t>
        </is>
      </c>
    </row>
    <row r="36" ht="17.4" customHeight="1">
      <c r="B36" s="278" t="n"/>
      <c r="N36" s="230" t="n"/>
      <c r="O36" s="230" t="n"/>
      <c r="P36" s="279" t="inlineStr">
        <is>
          <t xml:space="preserve">　　　GP3級受信機品番：SHGT67132W　受第18～17号</t>
        </is>
      </c>
    </row>
    <row r="37" ht="17.4" customHeight="1">
      <c r="B37" s="239" t="n"/>
      <c r="C37" s="242" t="n"/>
      <c r="D37" s="242" t="n"/>
      <c r="E37" s="242" t="n"/>
      <c r="F37" s="242" t="n"/>
      <c r="G37" s="242" t="n"/>
      <c r="H37" s="242" t="n"/>
      <c r="I37" s="242" t="n"/>
      <c r="J37" s="242" t="n"/>
      <c r="K37" s="242" t="n"/>
      <c r="L37" s="242" t="n"/>
      <c r="M37" s="243" t="n"/>
      <c r="N37" s="230" t="n"/>
      <c r="O37" s="230" t="n"/>
      <c r="P37" s="279" t="inlineStr">
        <is>
          <t xml:space="preserve">　　　　　　 子器品番：EJ560AN　   中第8～19号</t>
        </is>
      </c>
    </row>
    <row r="38" ht="3.6" customHeight="1">
      <c r="A38" s="230" t="n"/>
      <c r="B38" s="230" t="n"/>
      <c r="C38" s="230" t="n"/>
      <c r="D38" s="230" t="n"/>
      <c r="E38" s="230" t="n"/>
      <c r="F38" s="230" t="n"/>
      <c r="G38" s="230" t="n"/>
      <c r="H38" s="230" t="n"/>
      <c r="I38" s="230" t="n"/>
      <c r="J38" s="230" t="n"/>
      <c r="K38" s="230" t="n"/>
      <c r="L38" s="230" t="n"/>
      <c r="M38" s="230" t="n"/>
      <c r="N38" s="230" t="n"/>
      <c r="O38" s="230" t="n"/>
      <c r="P38" s="230" t="n"/>
    </row>
    <row r="39" ht="17.4" customHeight="1">
      <c r="A39" s="102" t="inlineStr">
        <is>
          <t>備考　１　この用紙の大きさは、日本産業規格Ａ４とすること。</t>
        </is>
      </c>
      <c r="B39" s="102" t="n"/>
      <c r="C39" s="102" t="n"/>
      <c r="D39" s="102" t="n"/>
      <c r="E39" s="102" t="n"/>
      <c r="F39" s="102" t="n"/>
      <c r="G39" s="102" t="n"/>
      <c r="H39" s="102" t="n"/>
      <c r="I39" s="102" t="n"/>
      <c r="J39" s="102" t="n"/>
      <c r="K39" s="102" t="n"/>
      <c r="L39" s="102" t="n"/>
      <c r="M39" s="102" t="n"/>
      <c r="N39" s="102" t="n"/>
      <c r="O39" s="102" t="n"/>
      <c r="P39" s="102" t="n"/>
    </row>
    <row r="40" ht="17.4" customHeight="1">
      <c r="A40" s="102" t="inlineStr">
        <is>
          <t xml:space="preserve">　　　２　選択肢の併記してある欄は、該当事項を○印で囲むこと。</t>
        </is>
      </c>
      <c r="B40" s="102" t="n"/>
      <c r="C40" s="102" t="n"/>
      <c r="D40" s="102" t="n"/>
      <c r="E40" s="102" t="n"/>
      <c r="F40" s="102" t="n"/>
      <c r="G40" s="102" t="n"/>
      <c r="H40" s="102" t="n"/>
      <c r="I40" s="102" t="n"/>
      <c r="J40" s="102" t="n"/>
      <c r="K40" s="102" t="n"/>
      <c r="L40" s="102" t="n"/>
      <c r="M40" s="102" t="n"/>
      <c r="N40" s="102" t="n"/>
      <c r="O40" s="102" t="n"/>
      <c r="P40" s="102" t="n"/>
    </row>
    <row r="41" ht="17.4" customHeight="1">
      <c r="A41" s="102" t="inlineStr">
        <is>
          <t xml:space="preserve">　　　３　感知器記入欄の（　　）内は、その機能又は性能を記入すること。</t>
        </is>
      </c>
      <c r="B41" s="102" t="n"/>
      <c r="C41" s="102" t="n"/>
      <c r="D41" s="102" t="n"/>
      <c r="E41" s="102" t="n"/>
      <c r="F41" s="102" t="n"/>
      <c r="G41" s="102" t="n"/>
      <c r="H41" s="102" t="n"/>
      <c r="I41" s="102" t="n"/>
      <c r="J41" s="102" t="n"/>
      <c r="K41" s="102" t="n"/>
      <c r="L41" s="102" t="n"/>
      <c r="M41" s="102" t="n"/>
      <c r="N41" s="102" t="n"/>
      <c r="O41" s="102" t="n"/>
      <c r="P41" s="102" t="n"/>
    </row>
    <row r="42" ht="17.4" customHeight="1">
      <c r="A42" s="102" t="inlineStr">
        <is>
          <t xml:space="preserve">　　　４　関連設備の消火設備（　　）内は、その設備等の種類を記入すること。</t>
        </is>
      </c>
      <c r="B42" s="102" t="n"/>
      <c r="C42" s="102" t="n"/>
      <c r="D42" s="102" t="n"/>
      <c r="E42" s="102" t="n"/>
      <c r="F42" s="102" t="n"/>
      <c r="G42" s="102" t="n"/>
      <c r="H42" s="102" t="n"/>
      <c r="I42" s="102" t="n"/>
      <c r="J42" s="102" t="n"/>
      <c r="K42" s="102" t="n"/>
      <c r="L42" s="102" t="n"/>
      <c r="M42" s="102" t="n"/>
      <c r="N42" s="102" t="n"/>
      <c r="O42" s="102" t="n"/>
      <c r="P42" s="102" t="n"/>
    </row>
    <row r="43" ht="17.4" customHeight="1"/>
    <row r="44" ht="17.4" customHeight="1">
      <c r="A44" s="200" t="n"/>
      <c r="B44" s="200" t="n"/>
      <c r="C44" s="200" t="n"/>
      <c r="D44" s="200" t="n"/>
      <c r="E44" s="200" t="n"/>
      <c r="F44" s="200" t="n"/>
      <c r="G44" s="200" t="n"/>
      <c r="H44" s="200" t="n"/>
      <c r="I44" s="200" t="n"/>
      <c r="J44" s="200" t="n"/>
      <c r="K44" s="200" t="n"/>
      <c r="L44" s="200" t="n"/>
      <c r="M44" s="200" t="n"/>
      <c r="N44" s="200" t="n"/>
      <c r="O44" s="200" t="n"/>
      <c r="P44" s="200" t="n"/>
    </row>
    <row r="45" ht="17.4" customHeight="1">
      <c r="A45" s="200" t="n"/>
      <c r="B45" s="200" t="n"/>
      <c r="C45" s="200" t="n"/>
      <c r="D45" s="200" t="n"/>
      <c r="E45" s="200" t="n"/>
      <c r="F45" s="200" t="n"/>
      <c r="G45" s="200" t="n"/>
      <c r="H45" s="200" t="n"/>
      <c r="I45" s="200" t="n"/>
      <c r="J45" s="200" t="n"/>
      <c r="K45" s="200" t="n"/>
      <c r="L45" s="200" t="n"/>
      <c r="M45" s="200" t="n"/>
      <c r="N45" s="200" t="n"/>
      <c r="O45" s="200" t="n"/>
      <c r="P45" s="200" t="n"/>
    </row>
    <row r="46" ht="17.4" customHeight="1">
      <c r="A46" s="200" t="n"/>
      <c r="B46" s="200" t="n"/>
      <c r="C46" s="200" t="n"/>
      <c r="D46" s="200" t="n"/>
      <c r="E46" s="200" t="n"/>
      <c r="F46" s="200" t="n"/>
      <c r="G46" s="200" t="n"/>
      <c r="H46" s="200" t="n"/>
      <c r="I46" s="200" t="n"/>
      <c r="J46" s="200" t="n"/>
      <c r="K46" s="200" t="n"/>
      <c r="L46" s="200" t="n"/>
      <c r="M46" s="200" t="n"/>
      <c r="N46" s="200" t="n"/>
      <c r="O46" s="200" t="n"/>
      <c r="P46" s="200" t="n"/>
    </row>
  </sheetData>
  <mergeCells count="94">
    <mergeCell ref="O7:P7"/>
    <mergeCell ref="Q13:R13"/>
    <mergeCell ref="B16:C18"/>
    <mergeCell ref="D12:M12"/>
    <mergeCell ref="D9:M9"/>
    <mergeCell ref="D19:H19"/>
    <mergeCell ref="O6:P6"/>
    <mergeCell ref="B22:C22"/>
    <mergeCell ref="O15:P15"/>
    <mergeCell ref="D31:E31"/>
    <mergeCell ref="W16:Y16"/>
    <mergeCell ref="D23:M23"/>
    <mergeCell ref="B34:M34"/>
    <mergeCell ref="I16:J16"/>
    <mergeCell ref="B13:C15"/>
    <mergeCell ref="A13:A21"/>
    <mergeCell ref="O16:P16"/>
    <mergeCell ref="A2:K2"/>
    <mergeCell ref="K16:M16"/>
    <mergeCell ref="A22:A25"/>
    <mergeCell ref="D27:M27"/>
    <mergeCell ref="B24:C24"/>
    <mergeCell ref="O17:P17"/>
    <mergeCell ref="Q17:R17"/>
    <mergeCell ref="D17:M17"/>
    <mergeCell ref="H15:I15"/>
    <mergeCell ref="Y5:AA5"/>
    <mergeCell ref="O3:P3"/>
    <mergeCell ref="B25:C25"/>
    <mergeCell ref="F29:M29"/>
    <mergeCell ref="D25:M25"/>
    <mergeCell ref="F6:G6"/>
    <mergeCell ref="B9:C10"/>
    <mergeCell ref="Y6:AA6"/>
    <mergeCell ref="K14:M14"/>
    <mergeCell ref="F5:G5"/>
    <mergeCell ref="F32:M32"/>
    <mergeCell ref="Q15:R15"/>
    <mergeCell ref="S15:T15"/>
    <mergeCell ref="B19:C21"/>
    <mergeCell ref="B4:M4"/>
    <mergeCell ref="A28:C32"/>
    <mergeCell ref="C8:M8"/>
    <mergeCell ref="D29:E29"/>
    <mergeCell ref="I19:J19"/>
    <mergeCell ref="F14:J14"/>
    <mergeCell ref="P31:AA31"/>
    <mergeCell ref="E20:M20"/>
    <mergeCell ref="D15:G15"/>
    <mergeCell ref="A33:A37"/>
    <mergeCell ref="S3:T3"/>
    <mergeCell ref="F30:M30"/>
    <mergeCell ref="O5:P5"/>
    <mergeCell ref="A3:A6"/>
    <mergeCell ref="D22:M22"/>
    <mergeCell ref="H5:M5"/>
    <mergeCell ref="Q6:R6"/>
    <mergeCell ref="B36:M36"/>
    <mergeCell ref="D28:E28"/>
    <mergeCell ref="F28:M28"/>
    <mergeCell ref="C6:E6"/>
    <mergeCell ref="A26:C27"/>
    <mergeCell ref="D30:E30"/>
    <mergeCell ref="W15:Y15"/>
    <mergeCell ref="A7:B8"/>
    <mergeCell ref="C7:M7"/>
    <mergeCell ref="T6:U6"/>
    <mergeCell ref="D14:E14"/>
    <mergeCell ref="Q16:R16"/>
    <mergeCell ref="S16:T16"/>
    <mergeCell ref="B5:E5"/>
    <mergeCell ref="D24:M24"/>
    <mergeCell ref="P32:AA32"/>
    <mergeCell ref="D26:M26"/>
    <mergeCell ref="J15:K15"/>
    <mergeCell ref="B23:C23"/>
    <mergeCell ref="L15:M15"/>
    <mergeCell ref="D32:E32"/>
    <mergeCell ref="F18:M18"/>
    <mergeCell ref="D10:M10"/>
    <mergeCell ref="K19:M19"/>
    <mergeCell ref="B33:M33"/>
    <mergeCell ref="U3:V3"/>
    <mergeCell ref="W19:Y19"/>
    <mergeCell ref="D18:E18"/>
    <mergeCell ref="E21:M21"/>
    <mergeCell ref="B35:M35"/>
    <mergeCell ref="F31:M31"/>
    <mergeCell ref="D11:M11"/>
    <mergeCell ref="A9:A12"/>
    <mergeCell ref="B3:M3"/>
    <mergeCell ref="B11:C12"/>
    <mergeCell ref="H6:M6"/>
    <mergeCell ref="O13:P13"/>
  </mergeCells>
  <pageMargins left="0.7086614173228347" right="0.7086614173228347" top="0.7480314960629921" bottom="0.7480314960629921" header="0.3149606299212598" footer="0.3149606299212598"/>
  <pageSetup orientation="portrait" paperSize="9" fitToWidth="0"/>
</worksheet>
</file>

<file path=xl/worksheets/sheet7.xml><?xml version="1.0" encoding="utf-8"?>
<worksheet xmlns="http://schemas.openxmlformats.org/spreadsheetml/2006/main">
  <sheetPr>
    <tabColor theme="5" tint="0.7999816888943144"/>
    <outlinePr summaryBelow="1" summaryRight="1"/>
    <pageSetUpPr fitToPage="1"/>
  </sheetPr>
  <dimension ref="A1:AD40"/>
  <sheetViews>
    <sheetView workbookViewId="0">
      <selection activeCell="A1" sqref="A1"/>
    </sheetView>
  </sheetViews>
  <sheetFormatPr baseColWidth="8" defaultRowHeight="15"/>
  <cols>
    <col width="4.69921875" customWidth="1" min="1" max="1"/>
    <col width="6.296875" customWidth="1" min="9" max="9"/>
    <col width="3.09765625" customWidth="1" min="10" max="10"/>
    <col width="4.69921875" customWidth="1" min="11" max="11"/>
    <col width="6.296875" customWidth="1" min="15" max="15"/>
    <col width="3.19921875" customWidth="1" min="16" max="16"/>
    <col width="4.69921875" customWidth="1" min="17" max="17"/>
    <col width="7.69921875" customWidth="1" min="18" max="18"/>
    <col width="1.69921875" customWidth="1" min="19" max="19"/>
    <col width="4.69921875" customWidth="1" min="20" max="20"/>
    <col width="5.8984375" customWidth="1" min="22" max="22"/>
    <col width="4.69921875" customWidth="1" min="23" max="23"/>
  </cols>
  <sheetData>
    <row r="1" ht="16.2" customHeight="1">
      <c r="A1" s="280" t="inlineStr">
        <is>
          <t xml:space="preserve"> 別記様式第１号の２の３（第３１条の３関係）</t>
        </is>
      </c>
      <c r="B1" s="280" t="n"/>
      <c r="C1" s="280" t="n"/>
      <c r="D1" s="280" t="n"/>
      <c r="E1" s="280" t="n"/>
      <c r="F1" s="280" t="n"/>
      <c r="G1" s="280" t="n"/>
      <c r="H1" s="280" t="n"/>
      <c r="I1" s="280" t="n"/>
      <c r="J1" s="280" t="n"/>
    </row>
    <row r="2" ht="18" customHeight="1">
      <c r="A2" s="281" t="inlineStr">
        <is>
          <t>消 防 用 設 備 等 （ 特 殊 消 防 用 設 備 等 ） 設 置 届 書</t>
        </is>
      </c>
    </row>
    <row r="3" ht="18" customHeight="1">
      <c r="A3" s="97" t="n"/>
      <c r="B3" s="282" t="n"/>
      <c r="C3" s="282" t="n"/>
      <c r="D3" s="282" t="n"/>
      <c r="E3" s="282" t="n"/>
      <c r="F3" s="282" t="n"/>
      <c r="G3" s="282" t="n"/>
      <c r="H3" s="282" t="n"/>
      <c r="I3" s="282" t="n"/>
      <c r="J3" s="75" t="n"/>
      <c r="K3" s="75" t="n"/>
      <c r="S3" s="283" t="inlineStr">
        <is>
          <t>令和　　年    月    日</t>
        </is>
      </c>
    </row>
    <row r="4" ht="18" customHeight="1">
      <c r="A4" s="97" t="n"/>
      <c r="B4" s="15">
        <f>表紙!U5</f>
        <v/>
      </c>
      <c r="C4" s="282" t="n"/>
      <c r="D4" s="282" t="n"/>
      <c r="E4" s="282" t="n"/>
      <c r="F4" s="282" t="n"/>
      <c r="G4" s="282" t="n"/>
      <c r="H4" s="282" t="n"/>
      <c r="I4" s="282" t="n"/>
      <c r="J4" s="75" t="inlineStr">
        <is>
          <t>届出者</t>
        </is>
      </c>
      <c r="S4" s="284" t="n"/>
    </row>
    <row r="5" ht="18" customHeight="1">
      <c r="A5" s="285" t="n"/>
      <c r="B5" s="282" t="n"/>
      <c r="C5" s="282" t="n"/>
      <c r="D5" s="282" t="n"/>
      <c r="E5" s="75" t="n"/>
      <c r="F5" s="282" t="n"/>
      <c r="G5" s="282" t="n"/>
      <c r="H5" s="282" t="n"/>
      <c r="I5" s="282" t="n"/>
      <c r="J5" s="100">
        <f>"住 所　"&amp;表紙!U11</f>
        <v/>
      </c>
      <c r="K5" s="100" t="n"/>
      <c r="L5" s="100" t="n"/>
      <c r="M5" s="100" t="n"/>
      <c r="N5" s="100" t="n"/>
      <c r="O5" s="100" t="n"/>
      <c r="P5" s="100" t="n"/>
      <c r="Q5" s="100" t="n"/>
      <c r="R5" s="100" t="n"/>
      <c r="S5" s="98" t="n"/>
    </row>
    <row r="6" ht="18" customHeight="1">
      <c r="A6" s="285" t="n"/>
      <c r="B6" s="282" t="n"/>
      <c r="C6" s="75" t="n"/>
      <c r="D6" s="282" t="n"/>
      <c r="E6" s="75" t="n"/>
      <c r="F6" s="282" t="n"/>
      <c r="G6" s="282" t="n"/>
      <c r="H6" s="282" t="n"/>
      <c r="I6" s="282" t="n"/>
      <c r="J6" s="100">
        <f>"氏　名　"&amp;表紙!U12&amp;"管理組合"</f>
        <v/>
      </c>
      <c r="K6" s="100" t="n"/>
      <c r="L6" s="100" t="n"/>
      <c r="M6" s="100" t="n"/>
      <c r="N6" s="100" t="n"/>
      <c r="O6" s="100" t="n"/>
      <c r="P6" s="100" t="n"/>
      <c r="Q6" s="100" t="n"/>
      <c r="R6" s="100" t="n"/>
      <c r="S6" s="98" t="n"/>
      <c r="T6" s="75" t="inlineStr">
        <is>
          <t>　</t>
        </is>
      </c>
    </row>
    <row r="7" ht="9" customHeight="1">
      <c r="A7" s="97" t="n"/>
      <c r="B7" s="282" t="n"/>
      <c r="C7" s="282" t="n"/>
      <c r="D7" s="282" t="n"/>
      <c r="E7" s="282" t="n"/>
      <c r="F7" s="282" t="n"/>
      <c r="G7" s="282" t="n"/>
      <c r="H7" s="282" t="n"/>
      <c r="I7" s="282" t="n"/>
      <c r="S7" s="284" t="n"/>
    </row>
    <row r="8" ht="18" customHeight="1">
      <c r="A8" s="286" t="n"/>
      <c r="B8" s="287" t="n"/>
      <c r="C8" s="287" t="n"/>
      <c r="D8" s="287" t="n"/>
      <c r="E8" s="75" t="n"/>
      <c r="F8" s="287" t="n"/>
      <c r="G8" s="287" t="n"/>
      <c r="H8" s="287" t="n"/>
      <c r="I8" s="287" t="n"/>
      <c r="J8" s="100">
        <f>"理事長  "&amp;W8</f>
        <v/>
      </c>
      <c r="K8" s="100" t="n"/>
      <c r="L8" s="100" t="n"/>
      <c r="M8" s="100" t="n"/>
      <c r="N8" s="100" t="n"/>
      <c r="O8" s="100" t="n"/>
      <c r="P8" s="100" t="n"/>
      <c r="Q8" s="100" t="n"/>
      <c r="R8" s="100" t="n"/>
      <c r="S8" s="98" t="n"/>
      <c r="V8" s="75" t="inlineStr">
        <is>
          <t>理事長</t>
        </is>
      </c>
      <c r="W8" s="288" t="n"/>
    </row>
    <row r="9" ht="18" customHeight="1">
      <c r="A9" s="289" t="inlineStr">
        <is>
          <t xml:space="preserve">　下記のとおり、消防用設備等（特殊消防用設備等）を設置したので、消防法第１７条の３の２の規定に基づき届け出ます。</t>
        </is>
      </c>
    </row>
    <row r="10" ht="18" customHeight="1"/>
    <row r="11" ht="18" customHeight="1">
      <c r="A11" s="114" t="inlineStr">
        <is>
          <t>記</t>
        </is>
      </c>
    </row>
    <row r="12" ht="21.6" customHeight="1">
      <c r="A12" s="84" t="inlineStr">
        <is>
          <t>設置者</t>
        </is>
      </c>
      <c r="C12" s="84" t="inlineStr">
        <is>
          <t>住　所</t>
        </is>
      </c>
      <c r="F12" s="290" t="inlineStr">
        <is>
          <t xml:space="preserve">　届出者に同じ 　　　　　　　　　　　電話　　 </t>
        </is>
      </c>
    </row>
    <row r="13" ht="21.6" customHeight="1">
      <c r="C13" s="84" t="inlineStr">
        <is>
          <t>氏　名</t>
        </is>
      </c>
      <c r="F13" s="290" t="inlineStr">
        <is>
          <t xml:space="preserve">　届出者に同じ</t>
        </is>
      </c>
    </row>
    <row r="14" ht="21.6" customHeight="1">
      <c r="A14" s="291" t="inlineStr">
        <is>
          <t>防火対象物</t>
        </is>
      </c>
      <c r="B14" s="84" t="inlineStr">
        <is>
          <t>所　在　地</t>
        </is>
      </c>
      <c r="F14" s="290">
        <f>"　"&amp;表紙!U11</f>
        <v/>
      </c>
    </row>
    <row r="15" ht="21.6" customHeight="1">
      <c r="B15" s="84" t="inlineStr">
        <is>
          <t>名　　　称</t>
        </is>
      </c>
      <c r="F15" s="290">
        <f>"　"&amp;表紙!U12</f>
        <v/>
      </c>
    </row>
    <row r="16" ht="21.6" customHeight="1">
      <c r="B16" s="84" t="inlineStr">
        <is>
          <t>用　　　途</t>
        </is>
      </c>
      <c r="F16" s="290" t="inlineStr">
        <is>
          <t xml:space="preserve">　令別表第一（５項）・ロ　共同住宅</t>
        </is>
      </c>
    </row>
    <row r="17" ht="21.6" customHeight="1">
      <c r="B17" s="84" t="inlineStr">
        <is>
          <t>構造・規模</t>
        </is>
      </c>
      <c r="F17" s="292">
        <f>"  "&amp;面積概要表!F11</f>
        <v/>
      </c>
      <c r="J17" s="293">
        <f>面積概要表!G7</f>
        <v/>
      </c>
    </row>
    <row r="18" ht="21.6" customHeight="1">
      <c r="F18" s="294" t="inlineStr">
        <is>
          <t xml:space="preserve">　床面積　　　　　　㎡　　</t>
        </is>
      </c>
      <c r="L18" s="295" t="inlineStr">
        <is>
          <t>延べ面積</t>
        </is>
      </c>
      <c r="O18" s="296">
        <f>面積概要表!L8</f>
        <v/>
      </c>
    </row>
    <row r="19" ht="36" customHeight="1">
      <c r="A19" s="84" t="inlineStr">
        <is>
          <t>消防用設備等（特殊消防用設備等）の種類</t>
        </is>
      </c>
      <c r="F19" s="290">
        <f>"　"&amp;表紙!U13</f>
        <v/>
      </c>
    </row>
    <row r="20" ht="18" customHeight="1">
      <c r="A20" s="291" t="inlineStr">
        <is>
          <t>工      事</t>
        </is>
      </c>
      <c r="B20" s="84" t="inlineStr">
        <is>
          <t>種別</t>
        </is>
      </c>
      <c r="F20" s="290" t="inlineStr">
        <is>
          <t xml:space="preserve">　新設 、 増設 、 移設 、 取替え 、 改造 、 その他（　　　　）</t>
        </is>
      </c>
    </row>
    <row r="21" ht="21" customHeight="1">
      <c r="B21" s="84" t="inlineStr">
        <is>
          <t>施工者
住　所
氏　名</t>
        </is>
      </c>
      <c r="D21" s="84" t="inlineStr">
        <is>
          <t>住　所</t>
        </is>
      </c>
      <c r="F21" s="297" t="inlineStr">
        <is>
          <t xml:space="preserve">　名古屋市中区栄4丁目16番3号　山光堂ビル5階　</t>
        </is>
      </c>
    </row>
    <row r="22" ht="21" customHeight="1">
      <c r="F22" s="298" t="inlineStr">
        <is>
          <t xml:space="preserve">　　　　　　　　　　　　　　　　　電話（052）269-9100番</t>
        </is>
      </c>
    </row>
    <row r="23" ht="21" customHeight="1">
      <c r="D23" s="84" t="inlineStr">
        <is>
          <t>氏　名</t>
        </is>
      </c>
      <c r="F23" s="290" t="inlineStr">
        <is>
          <t xml:space="preserve">　株式会社ＴＳＣアクセス・プロ　代表取締役　中村　勇</t>
        </is>
      </c>
    </row>
    <row r="24" ht="21" customHeight="1">
      <c r="B24" s="84" t="inlineStr">
        <is>
          <t>消　防
設備士</t>
        </is>
      </c>
      <c r="D24" s="84" t="inlineStr">
        <is>
          <t>住　所</t>
        </is>
      </c>
      <c r="F24" s="290">
        <f>表紙!L8</f>
        <v/>
      </c>
    </row>
    <row r="25" ht="21" customHeight="1">
      <c r="D25" s="84" t="inlineStr">
        <is>
          <t>氏　名</t>
        </is>
      </c>
      <c r="F25" s="290">
        <f>表紙!L9</f>
        <v/>
      </c>
    </row>
    <row r="26" ht="21" customHeight="1">
      <c r="D26" s="84" t="inlineStr">
        <is>
          <t>免　状</t>
        </is>
      </c>
      <c r="F26" s="84" t="inlineStr">
        <is>
          <t>種　類　等</t>
        </is>
      </c>
      <c r="I26" s="84" t="inlineStr">
        <is>
          <t>交 付 知 事</t>
        </is>
      </c>
      <c r="L26" s="84" t="inlineStr">
        <is>
          <t>交付年月日</t>
        </is>
      </c>
      <c r="O26" s="84" t="inlineStr">
        <is>
          <t>講 習 受 講 状 況</t>
        </is>
      </c>
    </row>
    <row r="27" ht="21" customHeight="1">
      <c r="L27" s="84" t="inlineStr">
        <is>
          <t>交付番号</t>
        </is>
      </c>
      <c r="O27" s="84" t="inlineStr">
        <is>
          <t>受 講 地</t>
        </is>
      </c>
      <c r="R27" s="84" t="inlineStr">
        <is>
          <t>受講年月</t>
        </is>
      </c>
    </row>
    <row r="28" ht="21" customHeight="1">
      <c r="F28" s="299" t="inlineStr">
        <is>
          <t>甲・乙</t>
        </is>
      </c>
      <c r="G28" s="293" t="inlineStr">
        <is>
          <t xml:space="preserve"> 種４類</t>
        </is>
      </c>
      <c r="I28" s="300" t="inlineStr">
        <is>
          <t xml:space="preserve">愛知　</t>
        </is>
      </c>
      <c r="J28" s="301" t="inlineStr">
        <is>
          <t>都 道</t>
        </is>
      </c>
      <c r="L28" s="302">
        <f>表紙!M20</f>
        <v/>
      </c>
      <c r="O28" s="300">
        <f>表紙!O21</f>
        <v/>
      </c>
      <c r="P28" s="301" t="inlineStr">
        <is>
          <t>都 道</t>
        </is>
      </c>
      <c r="R28" s="84">
        <f>表紙!Q20</f>
        <v/>
      </c>
    </row>
    <row r="29" ht="21" customHeight="1">
      <c r="I29" s="303" t="n"/>
      <c r="J29" s="304" t="inlineStr">
        <is>
          <t>府 県</t>
        </is>
      </c>
      <c r="L29" s="305">
        <f>表紙!M21</f>
        <v/>
      </c>
      <c r="O29" s="303" t="n"/>
      <c r="P29" s="304" t="inlineStr">
        <is>
          <t>府 県</t>
        </is>
      </c>
    </row>
    <row r="30" ht="24" customHeight="1">
      <c r="A30" s="84" t="inlineStr">
        <is>
          <t>完　成　年　月　日</t>
        </is>
      </c>
      <c r="F30" s="290" t="inlineStr">
        <is>
          <t xml:space="preserve">　令和    年　 　月　   日</t>
        </is>
      </c>
      <c r="V30" s="306" t="n"/>
    </row>
    <row r="31" ht="18" customHeight="1">
      <c r="A31" s="84" t="inlineStr">
        <is>
          <t>※　受　付　欄</t>
        </is>
      </c>
      <c r="F31" s="84" t="inlineStr">
        <is>
          <t>※ 決　裁　欄</t>
        </is>
      </c>
      <c r="M31" s="84" t="inlineStr">
        <is>
          <t>※　備　　考</t>
        </is>
      </c>
    </row>
    <row r="32" ht="18" customHeight="1">
      <c r="A32" s="307" t="n"/>
      <c r="F32" s="307" t="n"/>
      <c r="M32" s="308" t="n"/>
    </row>
    <row r="33" ht="18" customHeight="1"/>
    <row r="34" ht="18" customHeight="1"/>
    <row r="35" ht="18" customHeight="1"/>
    <row r="36" ht="18" customHeight="1"/>
    <row r="37" ht="18" customHeight="1">
      <c r="A37" s="280" t="inlineStr">
        <is>
          <t xml:space="preserve"> 備考　１　この用紙の大きさは、日本産業規格A４とすること。</t>
        </is>
      </c>
      <c r="B37" s="280" t="n"/>
      <c r="C37" s="309" t="n"/>
      <c r="D37" s="309" t="n"/>
      <c r="E37" s="309" t="n"/>
      <c r="F37" s="309" t="n"/>
      <c r="G37" s="309" t="n"/>
      <c r="H37" s="309" t="n"/>
      <c r="I37" s="309" t="n"/>
      <c r="J37" s="309" t="n"/>
      <c r="K37" s="309" t="n"/>
    </row>
    <row r="38" ht="18" customHeight="1">
      <c r="A38" s="280" t="inlineStr">
        <is>
          <t xml:space="preserve"> 　　　２　消防用設備等設計図書又は特殊消防用設備等設計図書は、消防用設備等又は特殊消防用設備等</t>
        </is>
      </c>
      <c r="B38" s="280" t="n"/>
      <c r="C38" s="309" t="n"/>
      <c r="D38" s="309" t="n"/>
      <c r="E38" s="309" t="n"/>
      <c r="F38" s="309" t="n"/>
      <c r="G38" s="309" t="n"/>
      <c r="H38" s="309" t="n"/>
      <c r="I38" s="309" t="n"/>
      <c r="J38" s="309" t="n"/>
      <c r="K38" s="309" t="n"/>
    </row>
    <row r="39" ht="18" customHeight="1">
      <c r="A39" s="280" t="inlineStr">
        <is>
          <t xml:space="preserve"> 　　　　の種類ごとにそれぞれ添付すること。</t>
        </is>
      </c>
      <c r="B39" s="280" t="n"/>
      <c r="C39" s="309" t="n"/>
      <c r="D39" s="309" t="n"/>
      <c r="E39" s="309" t="n"/>
      <c r="F39" s="309" t="n"/>
      <c r="G39" s="309" t="n"/>
      <c r="H39" s="309" t="n"/>
      <c r="I39" s="309" t="n"/>
      <c r="J39" s="309" t="n"/>
      <c r="K39" s="309" t="n"/>
    </row>
    <row r="40" ht="18" customHeight="1">
      <c r="A40" s="280" t="inlineStr">
        <is>
          <t xml:space="preserve"> 　　　３　※欄には、記入しないこと。</t>
        </is>
      </c>
      <c r="B40" s="280" t="n"/>
      <c r="C40" s="309" t="n"/>
      <c r="D40" s="309" t="n"/>
      <c r="E40" s="309" t="n"/>
      <c r="F40" s="309" t="n"/>
      <c r="G40" s="309" t="n"/>
      <c r="H40" s="309" t="n"/>
      <c r="I40" s="309" t="n"/>
      <c r="J40" s="309" t="n"/>
      <c r="K40" s="309" t="n"/>
    </row>
  </sheetData>
  <mergeCells count="63">
    <mergeCell ref="A30:E30"/>
    <mergeCell ref="F32:L36"/>
    <mergeCell ref="A12:B13"/>
    <mergeCell ref="F31:L31"/>
    <mergeCell ref="J29:K29"/>
    <mergeCell ref="P29:Q29"/>
    <mergeCell ref="G28:H29"/>
    <mergeCell ref="L18:N18"/>
    <mergeCell ref="A20:A29"/>
    <mergeCell ref="F18:K18"/>
    <mergeCell ref="B15:E15"/>
    <mergeCell ref="F16:S16"/>
    <mergeCell ref="B17:E18"/>
    <mergeCell ref="O18:S18"/>
    <mergeCell ref="B20:E20"/>
    <mergeCell ref="F25:S25"/>
    <mergeCell ref="A14:A18"/>
    <mergeCell ref="F19:S19"/>
    <mergeCell ref="C12:E12"/>
    <mergeCell ref="L26:N26"/>
    <mergeCell ref="J28:K28"/>
    <mergeCell ref="L29:N29"/>
    <mergeCell ref="B21:C23"/>
    <mergeCell ref="F30:S30"/>
    <mergeCell ref="O27:Q27"/>
    <mergeCell ref="F21:S21"/>
    <mergeCell ref="F12:S12"/>
    <mergeCell ref="F24:S24"/>
    <mergeCell ref="B16:E16"/>
    <mergeCell ref="B24:C29"/>
    <mergeCell ref="F15:S15"/>
    <mergeCell ref="J17:S17"/>
    <mergeCell ref="M32:S36"/>
    <mergeCell ref="F20:S20"/>
    <mergeCell ref="O26:S26"/>
    <mergeCell ref="R27:S27"/>
    <mergeCell ref="D26:E29"/>
    <mergeCell ref="A11:S11"/>
    <mergeCell ref="C13:E13"/>
    <mergeCell ref="I26:K27"/>
    <mergeCell ref="L27:N27"/>
    <mergeCell ref="F28:F29"/>
    <mergeCell ref="P28:Q28"/>
    <mergeCell ref="F26:H27"/>
    <mergeCell ref="F23:S23"/>
    <mergeCell ref="F22:S22"/>
    <mergeCell ref="B14:E14"/>
    <mergeCell ref="D25:E25"/>
    <mergeCell ref="F13:S13"/>
    <mergeCell ref="D21:E22"/>
    <mergeCell ref="D24:E24"/>
    <mergeCell ref="F17:I17"/>
    <mergeCell ref="M31:S31"/>
    <mergeCell ref="R28:S29"/>
    <mergeCell ref="W8:AD8"/>
    <mergeCell ref="L28:N28"/>
    <mergeCell ref="D23:E23"/>
    <mergeCell ref="A19:E19"/>
    <mergeCell ref="A32:E36"/>
    <mergeCell ref="A9:S10"/>
    <mergeCell ref="A31:E31"/>
    <mergeCell ref="A2:S2"/>
    <mergeCell ref="F14:S14"/>
  </mergeCells>
  <pageMargins left="0.7086614173228347" right="0.7086614173228347" top="0.7480314960629921" bottom="0.7480314960629921" header="0.3149606299212598" footer="0.3149606299212598"/>
  <pageSetup orientation="portrait" paperSize="9" scale="85"/>
</worksheet>
</file>

<file path=xl/worksheets/sheet8.xml><?xml version="1.0" encoding="utf-8"?>
<worksheet xmlns="http://schemas.openxmlformats.org/spreadsheetml/2006/main">
  <sheetPr>
    <tabColor theme="5" tint="0.7999816888943144"/>
    <outlinePr summaryBelow="1" summaryRight="1"/>
    <pageSetUpPr/>
  </sheetPr>
  <dimension ref="A1:AG176"/>
  <sheetViews>
    <sheetView workbookViewId="0">
      <selection activeCell="A1" sqref="A1"/>
    </sheetView>
  </sheetViews>
  <sheetFormatPr baseColWidth="8" defaultRowHeight="15"/>
  <cols>
    <col width="3.69921875" customWidth="1" min="1" max="1"/>
    <col width="4.69921875" customWidth="1" min="2" max="2"/>
    <col width="4.796875" customWidth="1" min="12" max="12"/>
    <col width="4.69921875" customWidth="1" min="13" max="13"/>
  </cols>
  <sheetData>
    <row r="1" ht="18" customHeight="1">
      <c r="A1" s="310" t="inlineStr">
        <is>
          <t>別記様式第33</t>
        </is>
      </c>
      <c r="R1" t="inlineStr">
        <is>
          <t>①</t>
        </is>
      </c>
    </row>
    <row r="2" ht="9" customHeight="1">
      <c r="A2" s="311" t="n"/>
    </row>
    <row r="3" ht="18" customHeight="1">
      <c r="A3" s="312" t="inlineStr">
        <is>
          <t>共同住宅用自動火災報知設備試験結果報告書</t>
        </is>
      </c>
    </row>
    <row r="4" ht="9" customHeight="1">
      <c r="A4" s="313" t="n"/>
    </row>
    <row r="5" ht="18" customHeight="1">
      <c r="A5" s="314" t="inlineStr">
        <is>
          <t xml:space="preserve">試験実施日　　令和 　年    月    日　</t>
        </is>
      </c>
    </row>
    <row r="6" ht="9" customHeight="1">
      <c r="A6" s="313" t="n"/>
    </row>
    <row r="7" ht="18" customHeight="1">
      <c r="A7" s="315" t="n"/>
      <c r="B7" s="316" t="n"/>
      <c r="C7" s="316" t="n"/>
      <c r="D7" s="316" t="n"/>
      <c r="E7" s="316" t="n"/>
      <c r="F7" s="316" t="n"/>
      <c r="G7" s="316" t="n"/>
      <c r="H7" s="317" t="inlineStr">
        <is>
          <t>試験実施者</t>
        </is>
      </c>
      <c r="I7" s="316" t="n"/>
      <c r="K7" s="316" t="n"/>
      <c r="L7" s="316" t="n"/>
      <c r="M7" s="316" t="n"/>
      <c r="N7" s="316" t="n"/>
      <c r="O7" s="316" t="n"/>
      <c r="P7" s="316" t="n"/>
      <c r="Q7" s="316" t="n"/>
      <c r="R7" s="318" t="n"/>
    </row>
    <row r="8" ht="9" customHeight="1">
      <c r="A8" s="319" t="n"/>
      <c r="B8" s="316" t="n"/>
      <c r="C8" s="316" t="n"/>
      <c r="D8" s="316" t="n"/>
      <c r="E8" s="316" t="n"/>
      <c r="F8" s="316" t="n"/>
      <c r="G8" s="316" t="n"/>
      <c r="H8" s="316" t="n"/>
      <c r="I8" s="316" t="n"/>
      <c r="J8" s="316" t="n"/>
      <c r="K8" s="316" t="n"/>
      <c r="L8" s="316" t="n"/>
      <c r="M8" s="316" t="n"/>
      <c r="N8" s="316" t="n"/>
      <c r="O8" s="316" t="n"/>
      <c r="P8" s="316" t="n"/>
      <c r="Q8" s="316" t="n"/>
      <c r="R8" s="318" t="n"/>
    </row>
    <row r="9" ht="18" customHeight="1">
      <c r="A9" s="315" t="n"/>
      <c r="B9" s="316" t="n"/>
      <c r="C9" s="316" t="n"/>
      <c r="D9" s="316" t="n"/>
      <c r="E9" s="316" t="n"/>
      <c r="F9" s="316" t="n"/>
      <c r="G9" s="316" t="n"/>
      <c r="H9" s="316" t="n"/>
      <c r="I9" s="320" t="inlineStr">
        <is>
          <t>住　所</t>
        </is>
      </c>
      <c r="K9" s="321">
        <f>表紙!L8</f>
        <v/>
      </c>
    </row>
    <row r="10" ht="18" customHeight="1">
      <c r="A10" s="315" t="n"/>
      <c r="B10" s="316" t="n"/>
      <c r="C10" s="316" t="n"/>
      <c r="D10" s="316" t="n"/>
      <c r="E10" s="316" t="n"/>
      <c r="F10" s="316" t="n"/>
      <c r="G10" s="316" t="n"/>
      <c r="H10" s="316" t="n"/>
      <c r="I10" s="320" t="inlineStr">
        <is>
          <t>氏　名</t>
        </is>
      </c>
      <c r="K10" s="321">
        <f>表紙!L9</f>
        <v/>
      </c>
    </row>
    <row r="11" ht="9.6" customHeight="1">
      <c r="A11" s="322" t="n"/>
      <c r="B11" s="323" t="n"/>
      <c r="C11" s="323" t="n"/>
      <c r="D11" s="323" t="n"/>
      <c r="E11" s="323" t="n"/>
      <c r="F11" s="323" t="n"/>
      <c r="G11" s="323" t="n"/>
      <c r="H11" s="323" t="n"/>
      <c r="I11" s="323" t="n"/>
      <c r="J11" s="323" t="n"/>
      <c r="K11" s="323" t="n"/>
      <c r="L11" s="323" t="n"/>
      <c r="M11" s="323" t="n"/>
      <c r="N11" s="323" t="n"/>
      <c r="O11" s="323" t="n"/>
      <c r="P11" s="323" t="n"/>
      <c r="Q11" s="323" t="n"/>
      <c r="R11" s="324" t="n"/>
    </row>
    <row r="12" ht="18" customHeight="1">
      <c r="A12" s="325" t="inlineStr">
        <is>
          <t>用途</t>
        </is>
      </c>
      <c r="C12" s="325" t="inlineStr">
        <is>
          <t>（　５　）項　ロ・共同住宅</t>
        </is>
      </c>
      <c r="T12" t="inlineStr">
        <is>
          <t>階数</t>
        </is>
      </c>
      <c r="V12" t="inlineStr">
        <is>
          <t>面積概要表　反映</t>
        </is>
      </c>
    </row>
    <row r="13" ht="18" customHeight="1">
      <c r="A13" s="326" t="inlineStr">
        <is>
          <t>延べ面積</t>
        </is>
      </c>
      <c r="C13" s="327">
        <f>面積概要表!L8</f>
        <v/>
      </c>
      <c r="J13" s="328" t="inlineStr">
        <is>
          <t>階　数</t>
        </is>
      </c>
      <c r="L13" s="328">
        <f>面積概要表!AC6</f>
        <v/>
      </c>
      <c r="T13" t="inlineStr">
        <is>
          <t>延べ面積</t>
        </is>
      </c>
      <c r="V13" t="inlineStr">
        <is>
          <t>面積概要表　反映</t>
        </is>
      </c>
    </row>
    <row r="14" ht="18" customHeight="1">
      <c r="A14" s="325" t="inlineStr">
        <is>
          <t>住戸数</t>
        </is>
      </c>
      <c r="C14" s="325" t="inlineStr">
        <is>
          <t xml:space="preserve">　全住戸数　51戸（601,1402号室未施工）</t>
        </is>
      </c>
      <c r="T14" t="inlineStr">
        <is>
          <t>住戸数</t>
        </is>
      </c>
      <c r="V14" t="inlineStr">
        <is>
          <t>住戸部【その2】　反映</t>
        </is>
      </c>
    </row>
    <row r="15" ht="18" customHeight="1">
      <c r="A15" s="328" t="inlineStr">
        <is>
          <t>住棟受信機</t>
        </is>
      </c>
      <c r="D15" s="329" t="inlineStr">
        <is>
          <t>非蓄積式・蓄積式・自動試験機能付き・遠隔試験機能付き・その他（　　　）</t>
        </is>
      </c>
      <c r="T15" s="330" t="n"/>
    </row>
    <row r="16" ht="18" customHeight="1">
      <c r="D16" s="79" t="inlineStr">
        <is>
          <t>Ｐ・ＧＰ型   級　回線数   /</t>
        </is>
      </c>
      <c r="I16" s="331" t="inlineStr">
        <is>
          <t>Ｒ・ＧＲ型自火報点数   3点・その他点数　点・予備点数  点</t>
        </is>
      </c>
    </row>
    <row r="17" ht="18" customHeight="1">
      <c r="D17" s="328" t="inlineStr">
        <is>
          <t>定格電圧</t>
        </is>
      </c>
      <c r="F17" s="325" t="inlineStr">
        <is>
          <t>ＡＣ　100　Ｖ　・　ＤＣ　　　Ｖ</t>
        </is>
      </c>
    </row>
    <row r="18" ht="18" customHeight="1">
      <c r="D18" s="328" t="inlineStr">
        <is>
          <t>予備電源</t>
        </is>
      </c>
      <c r="F18" s="325" t="inlineStr">
        <is>
          <t>NiCd・その他（　　　）　DC 24Ｖ　 3.5ＡＨ</t>
        </is>
      </c>
      <c r="T18" s="332" t="n"/>
    </row>
    <row r="19" ht="18" customHeight="1">
      <c r="A19" s="333" t="inlineStr">
        <is>
          <t>共同住宅用
受 信 機</t>
        </is>
      </c>
      <c r="D19" s="328" t="inlineStr">
        <is>
          <t>非蓄積式・蓄積式・自動試験機能付き・遠隔試験機能付き・その他（　　　）</t>
        </is>
      </c>
    </row>
    <row r="20" ht="18" customHeight="1">
      <c r="D20" s="328" t="inlineStr">
        <is>
          <t>定格電圧</t>
        </is>
      </c>
      <c r="F20" s="325" t="inlineStr">
        <is>
          <t>ＡＣ　100　Ｖ　・　ＤＣ　　　Ｖ</t>
        </is>
      </c>
    </row>
    <row r="21" ht="18" customHeight="1">
      <c r="D21" s="328" t="inlineStr">
        <is>
          <t>予備電源</t>
        </is>
      </c>
      <c r="F21" s="325" t="inlineStr">
        <is>
          <t>NiCd・その他（　　　）　　　 Ｖ　　　    ＡＨ</t>
        </is>
      </c>
    </row>
    <row r="22" ht="18" customHeight="1">
      <c r="A22" s="334" t="inlineStr">
        <is>
          <t>中　継　器</t>
        </is>
      </c>
      <c r="B22" s="335" t="inlineStr">
        <is>
          <t>アナログ式・蓄積式・自動試験機能付・遠隔試験機能付・他（　　）1/1回線</t>
        </is>
      </c>
      <c r="K22" s="335" t="inlineStr">
        <is>
          <t>予備電源 有 (　V　　AH)・無</t>
        </is>
      </c>
      <c r="P22" s="335">
        <f>"設置台数　"&amp;住戸部【その1】!X28&amp;" 台"</f>
        <v/>
      </c>
      <c r="T22" t="inlineStr">
        <is>
          <t>設置台数</t>
        </is>
      </c>
      <c r="V22" t="inlineStr">
        <is>
          <t>住戸部【その1】　反映</t>
        </is>
      </c>
    </row>
    <row r="23" ht="18" customHeight="1">
      <c r="B23" s="335" t="inlineStr">
        <is>
          <t>アナログ式・蓄積式・自動試験機能付・遠隔試験機能付・他（　　）　回線</t>
        </is>
      </c>
      <c r="K23" s="335" t="inlineStr">
        <is>
          <t>予備電源 有 (　V　　AH)・無</t>
        </is>
      </c>
      <c r="P23" s="335" t="inlineStr">
        <is>
          <t>設置台数　　 台</t>
        </is>
      </c>
    </row>
    <row r="24" ht="18" customHeight="1">
      <c r="B24" s="335" t="inlineStr">
        <is>
          <t>アナログ式・蓄積式・自動試験機能付・遠隔試験機能付・他（　　）　回線</t>
        </is>
      </c>
      <c r="K24" s="335" t="inlineStr">
        <is>
          <t>予備電源 有 (　V　　AH)・無</t>
        </is>
      </c>
      <c r="P24" s="335" t="inlineStr">
        <is>
          <t>設置台数　　 台</t>
        </is>
      </c>
    </row>
    <row r="25" ht="18" customHeight="1">
      <c r="B25" s="335" t="inlineStr">
        <is>
          <t>アナログ式・蓄積式・自動試験機能付・遠隔試験機能付・他（　　）　回線</t>
        </is>
      </c>
      <c r="K25" s="335" t="inlineStr">
        <is>
          <t>予備電源 有 (　V　　AH)・無</t>
        </is>
      </c>
      <c r="P25" s="335" t="inlineStr">
        <is>
          <t>設置台数　　 台</t>
        </is>
      </c>
    </row>
    <row r="26" ht="18" customHeight="1">
      <c r="B26" s="335" t="inlineStr">
        <is>
          <t>アナログ式・蓄積式・自動試験機能付・遠隔試験機能付・他（　　）　回線</t>
        </is>
      </c>
      <c r="K26" s="335" t="inlineStr">
        <is>
          <t>予備電源 有 (　V　　AH)・無</t>
        </is>
      </c>
      <c r="P26" s="335" t="inlineStr">
        <is>
          <t>設置台数　　 台</t>
        </is>
      </c>
    </row>
    <row r="27" ht="18" customHeight="1">
      <c r="A27" s="334" t="inlineStr">
        <is>
          <t>感知器</t>
        </is>
      </c>
      <c r="B27" s="336" t="inlineStr">
        <is>
          <t>機種</t>
        </is>
      </c>
      <c r="L27" s="336" t="inlineStr">
        <is>
          <t>自</t>
        </is>
      </c>
      <c r="M27" s="336" t="inlineStr">
        <is>
          <t>遠</t>
        </is>
      </c>
      <c r="N27" s="336" t="inlineStr">
        <is>
          <t>種別</t>
        </is>
      </c>
      <c r="Q27" s="336" t="inlineStr">
        <is>
          <t>個数</t>
        </is>
      </c>
    </row>
    <row r="28" ht="18" customHeight="1">
      <c r="B28" s="328" t="inlineStr">
        <is>
          <t>【共用部】</t>
        </is>
      </c>
      <c r="L28" s="328" t="n"/>
      <c r="M28" s="328" t="n"/>
      <c r="N28" s="328" t="n"/>
      <c r="Q28" s="337" t="n"/>
    </row>
    <row r="29" ht="18" customHeight="1">
      <c r="B29" s="328">
        <f>共用部【その1】!B4&amp;"  "&amp;共用部【その1】!D4&amp;共用部【その1】!G4</f>
        <v/>
      </c>
      <c r="L29" s="328">
        <f>IF(共用部【その1】!J4="","",共用部【その1】!J4)</f>
        <v/>
      </c>
      <c r="M29" s="328">
        <f>IF(共用部【その1】!K4="","",共用部【その1】!K4)</f>
        <v/>
      </c>
      <c r="N29" s="328">
        <f>IF(共用部【その1】!L4="","",共用部【その1】!L4)</f>
        <v/>
      </c>
      <c r="Q29" s="337">
        <f>IF(共用部【その1】!M4="","",共用部【その1】!M4)</f>
        <v/>
      </c>
      <c r="T29" s="338" t="n"/>
      <c r="V29" t="inlineStr">
        <is>
          <t>共用部【その1】　反映</t>
        </is>
      </c>
    </row>
    <row r="30" ht="18" customHeight="1">
      <c r="B30" s="328">
        <f>共用部【その1】!B6&amp;"  "&amp;共用部【その1】!D6&amp;共用部【その1】!G6</f>
        <v/>
      </c>
      <c r="L30" s="328">
        <f>IF(共用部【その1】!J6="","",共用部【その1】!J6)</f>
        <v/>
      </c>
      <c r="M30" s="328">
        <f>IF(共用部【その1】!K6="","",共用部【その1】!K6)</f>
        <v/>
      </c>
      <c r="N30" s="328">
        <f>IF(共用部【その1】!L6="","",共用部【その1】!L6)</f>
        <v/>
      </c>
      <c r="Q30" s="337">
        <f>IF(共用部【その1】!M6="","",共用部【その1】!M6)</f>
        <v/>
      </c>
      <c r="T30" s="338" t="n"/>
    </row>
    <row r="31" ht="18" customHeight="1">
      <c r="B31" s="328">
        <f>共用部【その1】!B8&amp;"  "&amp;共用部【その1】!D8&amp;共用部【その1】!G8</f>
        <v/>
      </c>
      <c r="L31" s="328">
        <f>IF(共用部【その1】!J8="","",共用部【その1】!J8)</f>
        <v/>
      </c>
      <c r="M31" s="328">
        <f>IF(共用部【その1】!K8="","",共用部【その1】!K8)</f>
        <v/>
      </c>
      <c r="N31" s="328">
        <f>IF(共用部【その1】!L8="","",共用部【その1】!L8)</f>
        <v/>
      </c>
      <c r="Q31" s="337">
        <f>IF(共用部【その1】!M8="","",共用部【その1】!M8)</f>
        <v/>
      </c>
      <c r="T31" s="338" t="n"/>
    </row>
    <row r="32" ht="18" customHeight="1">
      <c r="B32" s="328" t="n"/>
      <c r="L32" s="328">
        <f>IF(共用部【その1】!J10="","",共用部【その1】!J10)</f>
        <v/>
      </c>
      <c r="M32" s="328">
        <f>IF(共用部【その1】!K10="","",共用部【その1】!K10)</f>
        <v/>
      </c>
      <c r="N32" s="328">
        <f>IF(共用部【その1】!L10="","",共用部【その1】!L10)</f>
        <v/>
      </c>
      <c r="Q32" s="337">
        <f>IF(共用部【その1】!M10="","",共用部【その1】!M10)</f>
        <v/>
      </c>
      <c r="T32" s="338" t="n"/>
    </row>
    <row r="33" ht="18" customHeight="1">
      <c r="B33" s="328" t="n"/>
      <c r="L33" s="328">
        <f>IF(共用部【その1】!J12="","",共用部【その1】!J12)</f>
        <v/>
      </c>
      <c r="M33" s="328">
        <f>IF(共用部【その1】!K12="","",共用部【その1】!K12)</f>
        <v/>
      </c>
      <c r="N33" s="328">
        <f>IF(共用部【その1】!L12="","",共用部【その1】!L12)</f>
        <v/>
      </c>
      <c r="Q33" s="337">
        <f>IF(共用部【その1】!M12="","",共用部【その1】!M12)</f>
        <v/>
      </c>
      <c r="T33" s="338" t="n"/>
    </row>
    <row r="34" ht="18" customHeight="1">
      <c r="B34" s="336" t="inlineStr">
        <is>
          <t>【専有部】</t>
        </is>
      </c>
      <c r="L34" s="336" t="n"/>
      <c r="M34" s="336" t="n"/>
      <c r="N34" s="336" t="n"/>
      <c r="Q34" s="339" t="n"/>
    </row>
    <row r="35" ht="18" customHeight="1">
      <c r="B35" s="328">
        <f>住戸部【その1】!B4&amp;" "&amp;住戸部【その1】!D4&amp;住戸部【その1】!G4</f>
        <v/>
      </c>
      <c r="L35" s="328">
        <f>IF(住戸部【その1】!J4="","",住戸部【その1】!J4)</f>
        <v/>
      </c>
      <c r="M35" s="328">
        <f>IF(住戸部【その1】!K4="","",住戸部【その1】!K4)</f>
        <v/>
      </c>
      <c r="N35" s="328">
        <f>IF(住戸部【その1】!L4="","",住戸部【その1】!L4)</f>
        <v/>
      </c>
      <c r="Q35" s="340">
        <f>IF(住戸部【その1】!M4="","",住戸部【その1】!M4)</f>
        <v/>
      </c>
      <c r="T35" s="341" t="n"/>
      <c r="V35" t="inlineStr">
        <is>
          <t>住戸部【その1】　反映</t>
        </is>
      </c>
    </row>
    <row r="36" ht="18" customHeight="1">
      <c r="B36" s="328">
        <f>住戸部【その1】!B6&amp;" "&amp;住戸部【その1】!D6&amp;住戸部【その1】!G6</f>
        <v/>
      </c>
      <c r="L36" s="328">
        <f>IF(住戸部【その1】!J6="","",住戸部【その1】!J6)</f>
        <v/>
      </c>
      <c r="M36" s="328">
        <f>IF(住戸部【その1】!K6="","",住戸部【その1】!K6)</f>
        <v/>
      </c>
      <c r="N36" s="328">
        <f>IF(住戸部【その1】!L6="","",住戸部【その1】!L6)</f>
        <v/>
      </c>
      <c r="Q36" s="340">
        <f>IF(住戸部【その1】!M6="","",住戸部【その1】!M6)</f>
        <v/>
      </c>
      <c r="T36" s="341" t="n"/>
    </row>
    <row r="37" ht="18" customHeight="1">
      <c r="B37" s="328">
        <f>住戸部【その1】!B8&amp;" "&amp;住戸部【その1】!D8&amp;住戸部【その1】!G8</f>
        <v/>
      </c>
      <c r="L37" s="328">
        <f>IF(住戸部【その1】!J8="","",住戸部【その1】!J8)</f>
        <v/>
      </c>
      <c r="M37" s="328">
        <f>IF(住戸部【その1】!K8="","",住戸部【その1】!K8)</f>
        <v/>
      </c>
      <c r="N37" s="328">
        <f>IF(住戸部【その1】!L8="","",住戸部【その1】!L8)</f>
        <v/>
      </c>
      <c r="Q37" s="340">
        <f>IF(住戸部【その1】!M8="","",住戸部【その1】!M8)</f>
        <v/>
      </c>
      <c r="T37" s="341" t="n"/>
    </row>
    <row r="38" ht="18" customHeight="1">
      <c r="B38" s="328">
        <f>住戸部【その1】!B10&amp;" "&amp;住戸部【その1】!D10&amp;住戸部【その1】!G10</f>
        <v/>
      </c>
      <c r="L38" s="328">
        <f>IF(住戸部【その1】!J10="","",住戸部【その1】!J10)</f>
        <v/>
      </c>
      <c r="M38" s="328">
        <f>IF(住戸部【その1】!K10="","",住戸部【その1】!K10)</f>
        <v/>
      </c>
      <c r="N38" s="328">
        <f>IF(住戸部【その1】!L10="","",住戸部【その1】!L10)</f>
        <v/>
      </c>
      <c r="Q38" s="340">
        <f>IF(住戸部【その1】!M10="","",住戸部【その1】!M10)</f>
        <v/>
      </c>
      <c r="T38" s="341" t="n"/>
    </row>
    <row r="39" ht="18" customHeight="1">
      <c r="B39" s="328">
        <f>住戸部【その1】!B12&amp;" "&amp;住戸部【その1】!D12&amp;住戸部【その1】!G12</f>
        <v/>
      </c>
      <c r="L39" s="328">
        <f>IF(住戸部【その1】!J12="","",住戸部【その1】!J12)</f>
        <v/>
      </c>
      <c r="M39" s="328">
        <f>IF(住戸部【その1】!K12="","",住戸部【その1】!K12)</f>
        <v/>
      </c>
      <c r="N39" s="328">
        <f>IF(住戸部【その1】!L12="","",住戸部【その1】!L12)</f>
        <v/>
      </c>
      <c r="Q39" s="340">
        <f>IF(住戸部【その1】!M12="","",住戸部【その1】!M12)</f>
        <v/>
      </c>
      <c r="T39" s="341" t="n"/>
    </row>
    <row r="40" ht="18" customHeight="1">
      <c r="A40" s="342" t="inlineStr">
        <is>
          <t>音声警報装置等</t>
        </is>
      </c>
      <c r="D40" s="325" t="inlineStr">
        <is>
          <t>音声警報装置</t>
        </is>
      </c>
      <c r="G40" s="328" t="inlineStr">
        <is>
          <t>Ｌ級</t>
        </is>
      </c>
      <c r="I40" s="343" t="inlineStr">
        <is>
          <t>個</t>
        </is>
      </c>
      <c r="K40" s="328" t="inlineStr">
        <is>
          <t>Ｍ級</t>
        </is>
      </c>
      <c r="M40" s="343" t="inlineStr">
        <is>
          <t>個</t>
        </is>
      </c>
      <c r="O40" s="328" t="inlineStr">
        <is>
          <t>Ｓ級</t>
        </is>
      </c>
      <c r="Q40" s="343" t="inlineStr">
        <is>
          <t>個</t>
        </is>
      </c>
    </row>
    <row r="41" ht="18" customHeight="1">
      <c r="D41" s="325" t="inlineStr">
        <is>
          <t>戸外表示器</t>
        </is>
      </c>
      <c r="G41" s="328" t="inlineStr">
        <is>
          <t>―――――――</t>
        </is>
      </c>
      <c r="O41" s="328" t="inlineStr">
        <is>
          <t>個数</t>
        </is>
      </c>
      <c r="Q41" s="344">
        <f>住戸部【その1】!X28</f>
        <v/>
      </c>
      <c r="T41" t="inlineStr">
        <is>
          <t>個数</t>
        </is>
      </c>
      <c r="V41" t="inlineStr">
        <is>
          <t>住戸部【その1】　反映</t>
        </is>
      </c>
    </row>
    <row r="42" ht="18" customHeight="1">
      <c r="D42" s="345" t="inlineStr">
        <is>
          <t>放送設備との連動等</t>
        </is>
      </c>
      <c r="G42" s="325" t="inlineStr">
        <is>
          <t xml:space="preserve">　　有　・　無　　　　（音声切替装置　　　有　・　無）</t>
        </is>
      </c>
    </row>
    <row r="43" ht="18" customHeight="1">
      <c r="A43" s="346" t="n"/>
      <c r="B43" s="346" t="n"/>
      <c r="C43" s="346" t="n"/>
      <c r="D43" s="347" t="n"/>
      <c r="E43" s="347" t="n"/>
      <c r="F43" s="347" t="n"/>
      <c r="G43" s="348" t="n"/>
      <c r="H43" s="348" t="n"/>
      <c r="I43" s="348" t="n"/>
      <c r="J43" s="348" t="n"/>
      <c r="K43" s="348" t="n"/>
      <c r="L43" s="348" t="n"/>
      <c r="M43" s="348" t="n"/>
      <c r="N43" s="348" t="n"/>
      <c r="O43" s="348" t="n"/>
      <c r="P43" s="348" t="n"/>
      <c r="Q43" s="348" t="n"/>
      <c r="R43" s="348" t="n"/>
    </row>
    <row r="44" ht="19.95" customHeight="1">
      <c r="A44" s="349" t="inlineStr">
        <is>
          <t xml:space="preserve">共同住宅用非常警報設備　　　　　　　　　　　　　　　　　　</t>
        </is>
      </c>
      <c r="B44" s="349" t="n"/>
      <c r="C44" s="349" t="n"/>
      <c r="D44" s="349" t="n"/>
      <c r="E44" s="349" t="n"/>
      <c r="F44" s="349" t="n"/>
      <c r="G44" s="349" t="n"/>
      <c r="H44" s="349" t="n"/>
      <c r="I44" s="349" t="n"/>
      <c r="J44" s="349" t="n"/>
      <c r="K44" s="349" t="n"/>
      <c r="L44" s="349" t="n"/>
      <c r="M44" s="349" t="n"/>
      <c r="N44" s="349" t="n"/>
      <c r="O44" s="349" t="n"/>
      <c r="P44" s="349" t="n"/>
      <c r="Q44" s="349" t="n"/>
      <c r="R44" s="350" t="inlineStr">
        <is>
          <t>②</t>
        </is>
      </c>
    </row>
    <row r="45" ht="19.95" customHeight="1">
      <c r="A45" s="328" t="inlineStr">
        <is>
          <t>試　　　　　験　　　　　項　　　　　目</t>
        </is>
      </c>
      <c r="L45" s="351" t="inlineStr">
        <is>
          <t>種別・容量等の内容</t>
        </is>
      </c>
      <c r="Q45" s="328" t="inlineStr">
        <is>
          <t>結果</t>
        </is>
      </c>
    </row>
    <row r="46" ht="19.95" customHeight="1">
      <c r="A46" s="352" t="inlineStr">
        <is>
          <t>外観試験</t>
        </is>
      </c>
      <c r="B46" s="353" t="inlineStr">
        <is>
          <t>警戒区域</t>
        </is>
      </c>
      <c r="F46" s="353" t="inlineStr">
        <is>
          <t>警戒区域の設定</t>
        </is>
      </c>
      <c r="L46" s="351" t="inlineStr">
        <is>
          <t>―――――――</t>
        </is>
      </c>
      <c r="Q46" s="328" t="inlineStr">
        <is>
          <t>〇</t>
        </is>
      </c>
      <c r="AG46" s="354" t="inlineStr">
        <is>
          <t>〇</t>
        </is>
      </c>
    </row>
    <row r="47" ht="19.95" customHeight="1">
      <c r="B47" s="355" t="inlineStr">
        <is>
          <t>住棟受信機
＊共同住宅用用受信機</t>
        </is>
      </c>
      <c r="F47" s="353" t="inlineStr">
        <is>
          <t>設置場所等</t>
        </is>
      </c>
      <c r="I47" s="353" t="inlineStr">
        <is>
          <t>設置場所</t>
        </is>
      </c>
      <c r="L47" s="351">
        <f>IF(住戸部【その2】!Y5="","",住戸部【その2】!Y5)</f>
        <v/>
      </c>
      <c r="Q47" s="328" t="inlineStr">
        <is>
          <t>〇</t>
        </is>
      </c>
      <c r="AG47" s="356" t="inlineStr">
        <is>
          <t>／</t>
        </is>
      </c>
    </row>
    <row r="48" ht="19.95" customHeight="1">
      <c r="I48" s="351" t="inlineStr">
        <is>
          <t>周囲の状況・操作性</t>
        </is>
      </c>
      <c r="L48" s="351" t="inlineStr">
        <is>
          <t>―――――――</t>
        </is>
      </c>
      <c r="Q48" s="328" t="inlineStr">
        <is>
          <t>〇</t>
        </is>
      </c>
      <c r="AG48" s="357" t="n"/>
    </row>
    <row r="49" ht="19.95" customHeight="1">
      <c r="I49" s="353" t="inlineStr">
        <is>
          <t>設置状況</t>
        </is>
      </c>
      <c r="L49" s="351" t="inlineStr">
        <is>
          <t>―――――――</t>
        </is>
      </c>
      <c r="Q49" s="328" t="inlineStr">
        <is>
          <t>〇</t>
        </is>
      </c>
    </row>
    <row r="50" ht="19.95" customHeight="1">
      <c r="F50" s="353" t="inlineStr">
        <is>
          <t>構造・性能</t>
        </is>
      </c>
      <c r="L50" s="351" t="inlineStr">
        <is>
          <t>―――――――</t>
        </is>
      </c>
      <c r="Q50" s="328" t="inlineStr">
        <is>
          <t>〇</t>
        </is>
      </c>
    </row>
    <row r="51" ht="19.95" customHeight="1">
      <c r="F51" s="353" t="inlineStr">
        <is>
          <t>操作部</t>
        </is>
      </c>
      <c r="L51" s="351" t="inlineStr">
        <is>
          <t>床面からの高さ　  　1.2 ｍ</t>
        </is>
      </c>
      <c r="Q51" s="328" t="inlineStr">
        <is>
          <t>〇</t>
        </is>
      </c>
    </row>
    <row r="52" ht="19.95" customHeight="1">
      <c r="F52" s="353" t="inlineStr">
        <is>
          <t>予備品等</t>
        </is>
      </c>
      <c r="L52" s="351" t="inlineStr">
        <is>
          <t>―――――――</t>
        </is>
      </c>
      <c r="Q52" s="328" t="inlineStr">
        <is>
          <t>／</t>
        </is>
      </c>
    </row>
    <row r="53" ht="19.95" customHeight="1">
      <c r="B53" s="353" t="inlineStr">
        <is>
          <t>中継器</t>
        </is>
      </c>
      <c r="F53" s="353" t="inlineStr">
        <is>
          <t>設置場所等</t>
        </is>
      </c>
      <c r="L53" s="351">
        <f>X53</f>
        <v/>
      </c>
      <c r="Q53" s="328" t="inlineStr">
        <is>
          <t>〇</t>
        </is>
      </c>
      <c r="V53" t="inlineStr">
        <is>
          <t>設置場所</t>
        </is>
      </c>
      <c r="X53" s="244" t="inlineStr">
        <is>
          <t>戸外表示機組込</t>
        </is>
      </c>
    </row>
    <row r="54" ht="19.95" customHeight="1">
      <c r="F54" s="353" t="inlineStr">
        <is>
          <t>構造・性能</t>
        </is>
      </c>
      <c r="L54" s="351" t="inlineStr">
        <is>
          <t>―――――――</t>
        </is>
      </c>
      <c r="Q54" s="328" t="inlineStr">
        <is>
          <t>〇</t>
        </is>
      </c>
    </row>
    <row r="55" ht="19.95" customHeight="1">
      <c r="F55" s="353" t="inlineStr">
        <is>
          <t>予備品等</t>
        </is>
      </c>
      <c r="L55" s="351" t="inlineStr">
        <is>
          <t>―――――――</t>
        </is>
      </c>
      <c r="Q55" s="328" t="inlineStr">
        <is>
          <t>／</t>
        </is>
      </c>
    </row>
    <row r="56" ht="19.95" customHeight="1">
      <c r="B56" s="353" t="inlineStr">
        <is>
          <t>電源</t>
        </is>
      </c>
      <c r="F56" s="353" t="inlineStr">
        <is>
          <t>常用電源</t>
        </is>
      </c>
      <c r="L56" s="351" t="inlineStr">
        <is>
          <t>ＡＣ　  １００   Ｖ</t>
        </is>
      </c>
      <c r="Q56" s="328" t="inlineStr">
        <is>
          <t>〇</t>
        </is>
      </c>
    </row>
    <row r="57" ht="19.95" customHeight="1">
      <c r="F57" s="353" t="inlineStr">
        <is>
          <t>予備電源</t>
        </is>
      </c>
      <c r="L57" s="351" t="inlineStr">
        <is>
          <t>―――――――</t>
        </is>
      </c>
      <c r="Q57" s="328" t="inlineStr">
        <is>
          <t>／</t>
        </is>
      </c>
    </row>
    <row r="58" ht="19.95" customHeight="1">
      <c r="B58" s="358" t="inlineStr">
        <is>
          <t>＊感知器</t>
        </is>
      </c>
      <c r="E58" s="359" t="inlineStr">
        <is>
          <t xml:space="preserve">警戒状況・設置状況・構造・性能　　</t>
        </is>
      </c>
      <c r="F58" s="353" t="inlineStr">
        <is>
          <t>差動式スポット型</t>
        </is>
      </c>
      <c r="L58" s="351" t="inlineStr">
        <is>
          <t>―――――――</t>
        </is>
      </c>
      <c r="Q58" s="328" t="inlineStr">
        <is>
          <t>〇</t>
        </is>
      </c>
    </row>
    <row r="59" ht="19.95" customHeight="1">
      <c r="F59" s="353" t="inlineStr">
        <is>
          <t>定温式スポット型</t>
        </is>
      </c>
      <c r="L59" s="351" t="inlineStr">
        <is>
          <t>―――――――</t>
        </is>
      </c>
      <c r="Q59" s="328" t="inlineStr">
        <is>
          <t>〇</t>
        </is>
      </c>
    </row>
    <row r="60" ht="19.95" customHeight="1">
      <c r="F60" s="353" t="inlineStr">
        <is>
          <t>補償式スポット型</t>
        </is>
      </c>
      <c r="L60" s="351" t="inlineStr">
        <is>
          <t>―――――――</t>
        </is>
      </c>
      <c r="Q60" s="328" t="inlineStr">
        <is>
          <t>／</t>
        </is>
      </c>
    </row>
    <row r="61" ht="19.95" customHeight="1">
      <c r="F61" s="353" t="inlineStr">
        <is>
          <t>熱アナログ式スポット型</t>
        </is>
      </c>
      <c r="L61" s="351" t="inlineStr">
        <is>
          <t>―――――――</t>
        </is>
      </c>
      <c r="Q61" s="328" t="inlineStr">
        <is>
          <t>／</t>
        </is>
      </c>
    </row>
    <row r="62" ht="19.95" customHeight="1">
      <c r="F62" s="353" t="inlineStr">
        <is>
          <t>光電式スポット型</t>
        </is>
      </c>
      <c r="L62" s="351" t="inlineStr">
        <is>
          <t>―――――――</t>
        </is>
      </c>
      <c r="Q62" s="328" t="inlineStr">
        <is>
          <t>〇</t>
        </is>
      </c>
    </row>
    <row r="63" ht="19.95" customHeight="1">
      <c r="F63" s="353" t="inlineStr">
        <is>
          <t>光電アナログ式スポット型</t>
        </is>
      </c>
      <c r="L63" s="351" t="inlineStr">
        <is>
          <t>―――――――</t>
        </is>
      </c>
      <c r="Q63" s="328" t="inlineStr">
        <is>
          <t>／</t>
        </is>
      </c>
    </row>
    <row r="64" ht="19.95" customHeight="1">
      <c r="F64" s="353" t="inlineStr">
        <is>
          <t>イオン化式スポット型</t>
        </is>
      </c>
      <c r="L64" s="351" t="inlineStr">
        <is>
          <t>―――――――</t>
        </is>
      </c>
      <c r="Q64" s="328" t="inlineStr">
        <is>
          <t>／</t>
        </is>
      </c>
    </row>
    <row r="65" ht="19.95" customHeight="1">
      <c r="F65" s="328" t="inlineStr">
        <is>
          <t>イオン化アナログ式式スポット型</t>
        </is>
      </c>
      <c r="L65" s="351" t="inlineStr">
        <is>
          <t>―――――――</t>
        </is>
      </c>
      <c r="Q65" s="328" t="inlineStr">
        <is>
          <t>／</t>
        </is>
      </c>
    </row>
    <row r="66" ht="19.95" customHeight="1">
      <c r="F66" s="353" t="inlineStr">
        <is>
          <t>炎感知器</t>
        </is>
      </c>
      <c r="L66" s="351" t="inlineStr">
        <is>
          <t>―――――――</t>
        </is>
      </c>
      <c r="Q66" s="328" t="inlineStr">
        <is>
          <t>／</t>
        </is>
      </c>
    </row>
    <row r="67" ht="19.95" customHeight="1">
      <c r="B67" s="353" t="inlineStr">
        <is>
          <t>＊音声警報装置</t>
        </is>
      </c>
      <c r="F67" s="353" t="inlineStr">
        <is>
          <t>設置場所等</t>
        </is>
      </c>
      <c r="L67" s="351" t="inlineStr">
        <is>
          <t>―――――――</t>
        </is>
      </c>
      <c r="Q67" s="328" t="inlineStr">
        <is>
          <t>〇</t>
        </is>
      </c>
    </row>
    <row r="68" ht="19.95" customHeight="1">
      <c r="F68" s="353" t="inlineStr">
        <is>
          <t>構造・性能</t>
        </is>
      </c>
      <c r="L68" s="351" t="inlineStr">
        <is>
          <t>―――――――</t>
        </is>
      </c>
      <c r="Q68" s="328" t="inlineStr">
        <is>
          <t>〇</t>
        </is>
      </c>
    </row>
    <row r="69" ht="19.95" customHeight="1">
      <c r="B69" s="353" t="inlineStr">
        <is>
          <t>＊戸外表示器</t>
        </is>
      </c>
      <c r="F69" s="353" t="inlineStr">
        <is>
          <t>設置場所等</t>
        </is>
      </c>
      <c r="L69" s="351" t="inlineStr">
        <is>
          <t>―――――――</t>
        </is>
      </c>
      <c r="Q69" s="328" t="inlineStr">
        <is>
          <t>〇</t>
        </is>
      </c>
    </row>
    <row r="70" ht="19.95" customHeight="1">
      <c r="F70" s="353" t="inlineStr">
        <is>
          <t>構造・性能</t>
        </is>
      </c>
      <c r="L70" s="351" t="inlineStr">
        <is>
          <t>―――――――</t>
        </is>
      </c>
      <c r="Q70" s="328" t="inlineStr">
        <is>
          <t>〇</t>
        </is>
      </c>
    </row>
    <row r="71" ht="19.95" customHeight="1">
      <c r="A71" s="352" t="inlineStr">
        <is>
          <t>機能試験</t>
        </is>
      </c>
      <c r="B71" s="360" t="inlineStr">
        <is>
          <t>配線</t>
        </is>
      </c>
      <c r="F71" s="353" t="inlineStr">
        <is>
          <t>共通線試験</t>
        </is>
      </c>
      <c r="L71" s="351" t="inlineStr">
        <is>
          <t>―――――――</t>
        </is>
      </c>
      <c r="Q71" s="328" t="inlineStr">
        <is>
          <t>〇</t>
        </is>
      </c>
    </row>
    <row r="72" ht="19.95" customHeight="1">
      <c r="F72" s="361" t="inlineStr">
        <is>
          <t>送り配線試験</t>
        </is>
      </c>
      <c r="G72" s="361" t="inlineStr">
        <is>
          <t>住棟受信機</t>
        </is>
      </c>
      <c r="H72" s="353" t="inlineStr">
        <is>
          <t>試験回線１</t>
        </is>
      </c>
      <c r="L72" s="351" t="inlineStr">
        <is>
          <t>―――――――</t>
        </is>
      </c>
      <c r="Q72" s="328" t="inlineStr">
        <is>
          <t>／</t>
        </is>
      </c>
    </row>
    <row r="73" ht="19.95" customHeight="1">
      <c r="H73" s="353" t="inlineStr">
        <is>
          <t>試験回線２</t>
        </is>
      </c>
      <c r="L73" s="351" t="inlineStr">
        <is>
          <t>―――――――</t>
        </is>
      </c>
      <c r="Q73" s="328" t="inlineStr">
        <is>
          <t>／</t>
        </is>
      </c>
    </row>
    <row r="74" ht="19.95" customHeight="1">
      <c r="H74" s="353" t="inlineStr">
        <is>
          <t>試験回線３</t>
        </is>
      </c>
      <c r="L74" s="351" t="inlineStr">
        <is>
          <t>―――――――</t>
        </is>
      </c>
      <c r="Q74" s="328" t="inlineStr">
        <is>
          <t>／</t>
        </is>
      </c>
    </row>
    <row r="75" ht="19.95" customHeight="1">
      <c r="H75" s="353" t="inlineStr">
        <is>
          <t>試験回線４</t>
        </is>
      </c>
      <c r="L75" s="351" t="inlineStr">
        <is>
          <t>―――――――</t>
        </is>
      </c>
      <c r="Q75" s="328" t="inlineStr">
        <is>
          <t>／</t>
        </is>
      </c>
    </row>
    <row r="76" ht="19.95" customHeight="1">
      <c r="H76" s="353" t="inlineStr">
        <is>
          <t>試験回線５</t>
        </is>
      </c>
      <c r="L76" s="351" t="inlineStr">
        <is>
          <t>―――――――</t>
        </is>
      </c>
      <c r="Q76" s="328" t="inlineStr">
        <is>
          <t>／</t>
        </is>
      </c>
    </row>
    <row r="77" ht="19.95" customHeight="1">
      <c r="G77" s="353" t="inlineStr">
        <is>
          <t>共同住宅用受信機</t>
        </is>
      </c>
      <c r="L77" s="351" t="inlineStr">
        <is>
          <t>―――――――</t>
        </is>
      </c>
      <c r="Q77" s="328" t="inlineStr">
        <is>
          <t>〇</t>
        </is>
      </c>
    </row>
    <row r="78" ht="19.95" customHeight="1">
      <c r="A78" s="362" t="n"/>
      <c r="B78" s="363" t="n"/>
      <c r="C78" s="363" t="n"/>
      <c r="D78" s="363" t="n"/>
      <c r="E78" s="363" t="n"/>
      <c r="F78" s="364" t="n"/>
      <c r="G78" s="365" t="n"/>
      <c r="H78" s="365" t="n"/>
      <c r="I78" s="365" t="n"/>
      <c r="J78" s="365" t="n"/>
      <c r="K78" s="365" t="n"/>
      <c r="L78" s="366" t="n"/>
      <c r="M78" s="366" t="n"/>
      <c r="N78" s="366" t="n"/>
      <c r="O78" s="366" t="n"/>
      <c r="P78" s="366" t="n"/>
      <c r="Q78" s="367" t="n"/>
      <c r="R78" s="367" t="n"/>
    </row>
    <row r="79" ht="16.05" customHeight="1">
      <c r="A79" s="1" t="inlineStr">
        <is>
          <t>共同住宅用自動火災報知設備</t>
        </is>
      </c>
      <c r="B79" s="1" t="n"/>
      <c r="C79" s="1" t="n"/>
      <c r="D79" s="1" t="n"/>
      <c r="E79" s="1" t="n"/>
      <c r="F79" s="1" t="n"/>
      <c r="G79" s="1" t="n"/>
      <c r="H79" s="1" t="n"/>
      <c r="I79" s="1" t="n"/>
      <c r="J79" s="1" t="n"/>
      <c r="K79" s="1" t="n"/>
      <c r="L79" s="1" t="n"/>
      <c r="M79" s="1" t="n"/>
      <c r="N79" s="1" t="n"/>
      <c r="O79" s="1" t="n"/>
      <c r="P79" s="1" t="n"/>
      <c r="Q79" s="1" t="n"/>
      <c r="R79" s="16" t="inlineStr">
        <is>
          <t>③</t>
        </is>
      </c>
    </row>
    <row r="80" ht="16.05" customHeight="1">
      <c r="A80" s="333" t="inlineStr">
        <is>
          <t xml:space="preserve">　　　試　　　　　験　　　　　項　　　　　目</t>
        </is>
      </c>
      <c r="L80" s="331" t="inlineStr">
        <is>
          <t xml:space="preserve">　　種別・容量等の内容</t>
        </is>
      </c>
      <c r="Q80" s="333" t="inlineStr">
        <is>
          <t>結果</t>
        </is>
      </c>
    </row>
    <row r="81" ht="16.05" customHeight="1">
      <c r="A81" s="368" t="inlineStr">
        <is>
          <t>機能試験</t>
        </is>
      </c>
      <c r="B81" s="369" t="inlineStr">
        <is>
          <t>住棟受信機</t>
        </is>
      </c>
      <c r="E81" s="369" t="inlineStr">
        <is>
          <t>火災表示試験</t>
        </is>
      </c>
      <c r="H81" s="369" t="inlineStr">
        <is>
          <t>火災表示状況</t>
        </is>
      </c>
      <c r="L81" s="351" t="inlineStr">
        <is>
          <t>―――――――</t>
        </is>
      </c>
      <c r="Q81" s="333" t="inlineStr">
        <is>
          <t>○</t>
        </is>
      </c>
    </row>
    <row r="82" ht="16.05" customHeight="1">
      <c r="H82" s="369" t="inlineStr">
        <is>
          <t>保持機能</t>
        </is>
      </c>
      <c r="L82" s="351" t="inlineStr">
        <is>
          <t>―――――――</t>
        </is>
      </c>
      <c r="Q82" s="333" t="inlineStr">
        <is>
          <t>○</t>
        </is>
      </c>
    </row>
    <row r="83" ht="16.05" customHeight="1">
      <c r="H83" s="369" t="inlineStr">
        <is>
          <t>蓄積式の機能</t>
        </is>
      </c>
      <c r="L83" s="351" t="inlineStr">
        <is>
          <t>―――――――</t>
        </is>
      </c>
      <c r="Q83" s="333" t="inlineStr">
        <is>
          <t>○</t>
        </is>
      </c>
    </row>
    <row r="84" ht="16.05" customHeight="1">
      <c r="E84" s="331" t="inlineStr">
        <is>
          <t>注意表示試験</t>
        </is>
      </c>
      <c r="H84" s="369" t="inlineStr">
        <is>
          <t>注意表示状況</t>
        </is>
      </c>
      <c r="L84" s="351" t="inlineStr">
        <is>
          <t>―――――――</t>
        </is>
      </c>
      <c r="Q84" s="333" t="inlineStr">
        <is>
          <t>／</t>
        </is>
      </c>
    </row>
    <row r="85" ht="16.05" customHeight="1">
      <c r="E85" s="331" t="inlineStr">
        <is>
          <t>設定表示温度試験</t>
        </is>
      </c>
      <c r="H85" s="369" t="inlineStr">
        <is>
          <t>設定表示温度等</t>
        </is>
      </c>
      <c r="L85" s="351" t="inlineStr">
        <is>
          <t>―――――――</t>
        </is>
      </c>
      <c r="Q85" s="333" t="inlineStr">
        <is>
          <t>／</t>
        </is>
      </c>
    </row>
    <row r="86" ht="16.05" customHeight="1">
      <c r="E86" s="369" t="inlineStr">
        <is>
          <t>回路導通試験</t>
        </is>
      </c>
      <c r="L86" s="351" t="inlineStr">
        <is>
          <t>―――――――</t>
        </is>
      </c>
      <c r="Q86" s="333" t="inlineStr">
        <is>
          <t>○</t>
        </is>
      </c>
    </row>
    <row r="87" ht="16.05" customHeight="1">
      <c r="E87" s="331" t="inlineStr">
        <is>
          <t>同時作動試験</t>
        </is>
      </c>
      <c r="H87" s="369" t="inlineStr">
        <is>
          <t>常用電源使用時</t>
        </is>
      </c>
      <c r="L87" s="351" t="inlineStr">
        <is>
          <t>―――――――</t>
        </is>
      </c>
      <c r="Q87" s="333" t="inlineStr">
        <is>
          <t>○</t>
        </is>
      </c>
    </row>
    <row r="88" ht="16.05" customHeight="1">
      <c r="H88" s="369" t="inlineStr">
        <is>
          <t>予備電源使用時</t>
        </is>
      </c>
      <c r="L88" s="351" t="inlineStr">
        <is>
          <t>―――――――</t>
        </is>
      </c>
      <c r="Q88" s="333" t="inlineStr">
        <is>
          <t>○</t>
        </is>
      </c>
    </row>
    <row r="89" ht="27" customHeight="1">
      <c r="E89" s="370" t="inlineStr">
        <is>
          <t>感知器作動試験</t>
        </is>
      </c>
      <c r="H89" s="371" t="inlineStr">
        <is>
          <t>自動試験機能を
有するもの</t>
        </is>
      </c>
      <c r="L89" s="351" t="inlineStr">
        <is>
          <t>―――――――</t>
        </is>
      </c>
      <c r="Q89" s="333" t="inlineStr">
        <is>
          <t>／</t>
        </is>
      </c>
    </row>
    <row r="90" ht="27" customHeight="1">
      <c r="H90" s="371" t="inlineStr">
        <is>
          <t>遠隔試験機能を
有するもの</t>
        </is>
      </c>
      <c r="L90" s="351" t="inlineStr">
        <is>
          <t>―――――――</t>
        </is>
      </c>
      <c r="Q90" s="333" t="inlineStr">
        <is>
          <t>○</t>
        </is>
      </c>
    </row>
    <row r="91" ht="16.05" customHeight="1">
      <c r="E91" s="331" t="inlineStr">
        <is>
          <t>予備電源試験</t>
        </is>
      </c>
      <c r="H91" s="369" t="inlineStr">
        <is>
          <t>電源自動切替機能</t>
        </is>
      </c>
      <c r="L91" s="351" t="inlineStr">
        <is>
          <t>―――――――</t>
        </is>
      </c>
      <c r="Q91" s="333" t="inlineStr">
        <is>
          <t>○</t>
        </is>
      </c>
    </row>
    <row r="92" ht="16.05" customHeight="1">
      <c r="H92" s="369" t="inlineStr">
        <is>
          <t>電圧</t>
        </is>
      </c>
      <c r="L92" s="372" t="inlineStr">
        <is>
          <t>ＤＣ　　　　　24　  　Ｖ</t>
        </is>
      </c>
      <c r="Q92" s="333" t="inlineStr">
        <is>
          <t>○</t>
        </is>
      </c>
    </row>
    <row r="93" ht="16.05" customHeight="1">
      <c r="E93" s="369" t="inlineStr">
        <is>
          <t>付属装置試験</t>
        </is>
      </c>
      <c r="L93" s="351" t="inlineStr">
        <is>
          <t>―――――――</t>
        </is>
      </c>
      <c r="Q93" s="333" t="inlineStr">
        <is>
          <t>／</t>
        </is>
      </c>
    </row>
    <row r="94" ht="16.05" customHeight="1">
      <c r="E94" s="331" t="inlineStr">
        <is>
          <t>相互作動試験</t>
        </is>
      </c>
      <c r="H94" s="369" t="inlineStr">
        <is>
          <t>相互通話状況</t>
        </is>
      </c>
      <c r="L94" s="351" t="inlineStr">
        <is>
          <t>―――――――</t>
        </is>
      </c>
      <c r="Q94" s="333" t="inlineStr">
        <is>
          <t>／</t>
        </is>
      </c>
    </row>
    <row r="95" ht="16.05" customHeight="1">
      <c r="H95" s="331" t="inlineStr">
        <is>
          <t>音声警報装置鳴動状況</t>
        </is>
      </c>
      <c r="L95" s="351" t="inlineStr">
        <is>
          <t>―――――――</t>
        </is>
      </c>
      <c r="Q95" s="333" t="inlineStr">
        <is>
          <t>／</t>
        </is>
      </c>
    </row>
    <row r="96" ht="16.05" customHeight="1">
      <c r="B96" s="331" t="inlineStr">
        <is>
          <t>＊共同住宅用受信機</t>
        </is>
      </c>
      <c r="E96" s="369" t="inlineStr">
        <is>
          <t>火災警報等試験</t>
        </is>
      </c>
      <c r="H96" s="369" t="inlineStr">
        <is>
          <t>感知器作動警報</t>
        </is>
      </c>
      <c r="L96" s="351" t="inlineStr">
        <is>
          <t>―――――――</t>
        </is>
      </c>
      <c r="Q96" s="333" t="inlineStr">
        <is>
          <t>○</t>
        </is>
      </c>
    </row>
    <row r="97" ht="16.05" customHeight="1">
      <c r="H97" s="369" t="inlineStr">
        <is>
          <t>火災警報</t>
        </is>
      </c>
      <c r="L97" s="351" t="inlineStr">
        <is>
          <t>―――――――</t>
        </is>
      </c>
      <c r="Q97" s="333" t="inlineStr">
        <is>
          <t>○</t>
        </is>
      </c>
    </row>
    <row r="98" ht="16.05" customHeight="1">
      <c r="H98" s="369" t="inlineStr">
        <is>
          <t>蓄積式の機能</t>
        </is>
      </c>
      <c r="L98" s="351" t="inlineStr">
        <is>
          <t>―――――――</t>
        </is>
      </c>
      <c r="Q98" s="333" t="inlineStr">
        <is>
          <t>／</t>
        </is>
      </c>
    </row>
    <row r="99" ht="27" customHeight="1">
      <c r="E99" s="369" t="inlineStr">
        <is>
          <t>感知器作動試験</t>
        </is>
      </c>
      <c r="H99" s="371" t="inlineStr">
        <is>
          <t>自動試験機能を
有するもの</t>
        </is>
      </c>
      <c r="L99" s="351" t="inlineStr">
        <is>
          <t>―――――――</t>
        </is>
      </c>
      <c r="Q99" s="333" t="inlineStr">
        <is>
          <t>／</t>
        </is>
      </c>
    </row>
    <row r="100" ht="27" customHeight="1">
      <c r="H100" s="371" t="inlineStr">
        <is>
          <t>遠隔試験機能を
有するもの</t>
        </is>
      </c>
      <c r="L100" s="351" t="inlineStr">
        <is>
          <t>―――――――</t>
        </is>
      </c>
      <c r="Q100" s="333" t="inlineStr">
        <is>
          <t>○</t>
        </is>
      </c>
    </row>
    <row r="101" ht="16.05" customHeight="1">
      <c r="E101" s="331" t="inlineStr">
        <is>
          <t>予備電源試験</t>
        </is>
      </c>
      <c r="H101" s="369" t="inlineStr">
        <is>
          <t>電源自動切替機能</t>
        </is>
      </c>
      <c r="L101" s="351" t="inlineStr">
        <is>
          <t>―――――――</t>
        </is>
      </c>
      <c r="Q101" s="333" t="inlineStr">
        <is>
          <t>／</t>
        </is>
      </c>
    </row>
    <row r="102" ht="16.05" customHeight="1">
      <c r="B102" s="369" t="inlineStr">
        <is>
          <t>中継器</t>
        </is>
      </c>
      <c r="E102" s="331" t="inlineStr">
        <is>
          <t>設定表示温度試験</t>
        </is>
      </c>
      <c r="H102" s="369" t="inlineStr">
        <is>
          <t>設定表示温度等</t>
        </is>
      </c>
      <c r="L102" s="351" t="inlineStr">
        <is>
          <t>―――――――</t>
        </is>
      </c>
      <c r="Q102" s="333" t="inlineStr">
        <is>
          <t>／</t>
        </is>
      </c>
    </row>
    <row r="103" ht="16.05" customHeight="1">
      <c r="E103" s="369" t="inlineStr">
        <is>
          <t>回路導通試験</t>
        </is>
      </c>
      <c r="L103" s="351" t="inlineStr">
        <is>
          <t>―――――――</t>
        </is>
      </c>
      <c r="Q103" s="333" t="inlineStr">
        <is>
          <t>／</t>
        </is>
      </c>
    </row>
    <row r="104" ht="16.05" customHeight="1">
      <c r="E104" s="369" t="inlineStr">
        <is>
          <t>遠隔試験機能</t>
        </is>
      </c>
      <c r="L104" s="351" t="inlineStr">
        <is>
          <t>―――――――</t>
        </is>
      </c>
      <c r="Q104" s="333" t="inlineStr">
        <is>
          <t>○</t>
        </is>
      </c>
    </row>
    <row r="105" ht="16.05" customHeight="1">
      <c r="E105" s="369" t="inlineStr">
        <is>
          <t>予備電源試験</t>
        </is>
      </c>
      <c r="H105" s="369" t="inlineStr">
        <is>
          <t>電源自動切替機能</t>
        </is>
      </c>
      <c r="L105" s="351" t="inlineStr">
        <is>
          <t>―――――――</t>
        </is>
      </c>
      <c r="Q105" s="333" t="inlineStr">
        <is>
          <t>／</t>
        </is>
      </c>
    </row>
    <row r="106" ht="16.05" customHeight="1">
      <c r="H106" s="369" t="inlineStr">
        <is>
          <t>電圧</t>
        </is>
      </c>
      <c r="L106" s="372" t="inlineStr">
        <is>
          <t>Ｖ</t>
        </is>
      </c>
      <c r="Q106" s="333" t="inlineStr">
        <is>
          <t>／</t>
        </is>
      </c>
    </row>
    <row r="107" ht="16.05" customHeight="1">
      <c r="B107" s="369" t="inlineStr">
        <is>
          <t>＊感知器</t>
        </is>
      </c>
      <c r="E107" s="369" t="inlineStr">
        <is>
          <t>作動試験</t>
        </is>
      </c>
      <c r="L107" s="351" t="inlineStr">
        <is>
          <t>―――――――</t>
        </is>
      </c>
      <c r="Q107" s="333" t="inlineStr">
        <is>
          <t>○</t>
        </is>
      </c>
    </row>
    <row r="108" ht="16.05" customHeight="1">
      <c r="B108" s="333" t="inlineStr">
        <is>
          <t>音声警報装置</t>
        </is>
      </c>
      <c r="E108" s="369" t="inlineStr">
        <is>
          <t>鳴動方式試験</t>
        </is>
      </c>
      <c r="L108" s="351" t="inlineStr">
        <is>
          <t>―――――――</t>
        </is>
      </c>
      <c r="Q108" s="333" t="inlineStr">
        <is>
          <t>○</t>
        </is>
      </c>
    </row>
    <row r="109" ht="16.05" customHeight="1">
      <c r="E109" s="369" t="inlineStr">
        <is>
          <t>＊作動試験</t>
        </is>
      </c>
      <c r="L109" s="351" t="inlineStr">
        <is>
          <t>―――――――</t>
        </is>
      </c>
      <c r="Q109" s="333" t="inlineStr">
        <is>
          <t>○</t>
        </is>
      </c>
    </row>
    <row r="110" ht="16.05" customHeight="1">
      <c r="B110" s="333" t="inlineStr">
        <is>
          <t>＊戸外表示器</t>
        </is>
      </c>
      <c r="E110" s="369" t="inlineStr">
        <is>
          <t>作動試験</t>
        </is>
      </c>
      <c r="L110" s="351" t="inlineStr">
        <is>
          <t>―――――――</t>
        </is>
      </c>
      <c r="Q110" s="333" t="inlineStr">
        <is>
          <t>○</t>
        </is>
      </c>
    </row>
    <row r="111" ht="27" customHeight="1">
      <c r="B111" s="373" t="inlineStr">
        <is>
          <t>関係者等への
報知装置</t>
        </is>
      </c>
      <c r="E111" s="371" t="inlineStr">
        <is>
          <t>作動試験</t>
        </is>
      </c>
      <c r="L111" s="351" t="inlineStr">
        <is>
          <t>―――――――</t>
        </is>
      </c>
      <c r="Q111" s="374" t="inlineStr">
        <is>
          <t>／</t>
        </is>
      </c>
    </row>
    <row r="112" ht="16.05" customHeight="1">
      <c r="B112" s="369" t="inlineStr">
        <is>
          <t>非常電源</t>
        </is>
      </c>
      <c r="E112" s="370" t="inlineStr">
        <is>
          <t>非常電源試験</t>
        </is>
      </c>
      <c r="H112" s="369" t="inlineStr">
        <is>
          <t>電源自動切替</t>
        </is>
      </c>
      <c r="L112" s="351" t="inlineStr">
        <is>
          <t>―――――――</t>
        </is>
      </c>
      <c r="Q112" s="333" t="inlineStr">
        <is>
          <t>○</t>
        </is>
      </c>
    </row>
    <row r="113" ht="27" customHeight="1">
      <c r="H113" s="374" t="inlineStr">
        <is>
          <t>その他（内蔵型
以外のもの)</t>
        </is>
      </c>
      <c r="L113" s="351" t="inlineStr">
        <is>
          <t>―――――――</t>
        </is>
      </c>
      <c r="Q113" s="333" t="inlineStr">
        <is>
          <t>／</t>
        </is>
      </c>
    </row>
    <row r="114" ht="16.05" customHeight="1">
      <c r="A114" s="375" t="inlineStr">
        <is>
          <t>備考</t>
        </is>
      </c>
      <c r="E114" s="376" t="inlineStr">
        <is>
          <t>※着工届に同じく。</t>
        </is>
      </c>
    </row>
    <row r="115" ht="13.95" customHeight="1">
      <c r="A115" s="103" t="inlineStr">
        <is>
          <t>備考１　この用紙の大きさは、日本産業規格Ａ４とすること。</t>
        </is>
      </c>
      <c r="B115" s="103" t="n"/>
      <c r="C115" s="377" t="n"/>
      <c r="D115" s="377" t="n"/>
      <c r="E115" s="377" t="n"/>
      <c r="F115" s="377" t="n"/>
      <c r="G115" s="377" t="n"/>
      <c r="H115" s="377" t="n"/>
      <c r="I115" s="377" t="n"/>
      <c r="J115" s="377" t="n"/>
      <c r="K115" s="377" t="n"/>
      <c r="L115" s="377" t="n"/>
      <c r="M115" s="377" t="n"/>
      <c r="N115" s="377" t="n"/>
      <c r="O115" s="377" t="n"/>
      <c r="P115" s="377" t="n"/>
      <c r="Q115" s="377" t="n"/>
      <c r="R115" s="377" t="n"/>
    </row>
    <row r="116" ht="13.95" customHeight="1">
      <c r="A116" s="103" t="inlineStr">
        <is>
          <t xml:space="preserve">　　２　選択肢のある欄は、該当する事項を○印で囲むこと。</t>
        </is>
      </c>
      <c r="B116" s="103" t="n"/>
      <c r="C116" s="377" t="n"/>
      <c r="D116" s="377" t="n"/>
      <c r="E116" s="377" t="n"/>
      <c r="F116" s="377" t="n"/>
      <c r="G116" s="377" t="n"/>
      <c r="H116" s="377" t="n"/>
      <c r="I116" s="377" t="n"/>
      <c r="J116" s="377" t="n"/>
      <c r="K116" s="377" t="n"/>
      <c r="L116" s="377" t="n"/>
      <c r="M116" s="377" t="n"/>
      <c r="N116" s="377" t="n"/>
      <c r="O116" s="377" t="n"/>
      <c r="P116" s="377" t="n"/>
      <c r="Q116" s="377" t="n"/>
      <c r="R116" s="377" t="n"/>
    </row>
    <row r="117" ht="13.95" customHeight="1">
      <c r="A117" s="103" t="inlineStr">
        <is>
          <t xml:space="preserve">　　３　結果の欄には、良否を記入すること。</t>
        </is>
      </c>
      <c r="B117" s="103" t="n"/>
      <c r="C117" s="377" t="n"/>
      <c r="D117" s="377" t="n"/>
      <c r="E117" s="377" t="n"/>
      <c r="F117" s="377" t="n"/>
      <c r="G117" s="377" t="n"/>
      <c r="H117" s="377" t="n"/>
      <c r="I117" s="377" t="n"/>
      <c r="J117" s="377" t="n"/>
      <c r="K117" s="377" t="n"/>
      <c r="L117" s="377" t="n"/>
      <c r="M117" s="377" t="n"/>
      <c r="N117" s="377" t="n"/>
      <c r="O117" s="377" t="n"/>
      <c r="P117" s="377" t="n"/>
      <c r="Q117" s="377" t="n"/>
      <c r="R117" s="377" t="n"/>
    </row>
    <row r="118" ht="13.95" customHeight="1">
      <c r="A118" s="103" t="inlineStr">
        <is>
          <t xml:space="preserve">　　４　非常電源（内蔵型以外のもの）及び配線についての試験結果報告書を添付すること。</t>
        </is>
      </c>
      <c r="B118" s="103" t="n"/>
      <c r="C118" s="377" t="n"/>
      <c r="D118" s="377" t="n"/>
      <c r="E118" s="377" t="n"/>
      <c r="F118" s="377" t="n"/>
      <c r="G118" s="377" t="n"/>
      <c r="H118" s="377" t="n"/>
      <c r="I118" s="377" t="n"/>
      <c r="J118" s="377" t="n"/>
      <c r="K118" s="377" t="n"/>
      <c r="L118" s="377" t="n"/>
      <c r="M118" s="377" t="n"/>
      <c r="N118" s="377" t="n"/>
      <c r="O118" s="377" t="n"/>
      <c r="P118" s="377" t="n"/>
      <c r="Q118" s="377" t="n"/>
      <c r="R118" s="377" t="n"/>
    </row>
    <row r="119" ht="13.95" customHeight="1">
      <c r="A119" s="103" t="inlineStr">
        <is>
          <t xml:space="preserve">　　５　総合操作盤が設けられているものにあっては、総合操作盤についての試験結果報告書を添付すること。</t>
        </is>
      </c>
      <c r="B119" s="103" t="n"/>
      <c r="C119" s="377" t="n"/>
      <c r="D119" s="377" t="n"/>
      <c r="E119" s="377" t="n"/>
      <c r="F119" s="377" t="n"/>
      <c r="G119" s="377" t="n"/>
      <c r="H119" s="377" t="n"/>
      <c r="I119" s="377" t="n"/>
      <c r="J119" s="377" t="n"/>
      <c r="K119" s="377" t="n"/>
      <c r="L119" s="377" t="n"/>
      <c r="M119" s="377" t="n"/>
      <c r="N119" s="377" t="n"/>
      <c r="O119" s="377" t="n"/>
      <c r="P119" s="377" t="n"/>
      <c r="Q119" s="377" t="n"/>
      <c r="R119" s="377" t="n"/>
    </row>
    <row r="120" ht="13.95" customHeight="1">
      <c r="A120" s="103" t="inlineStr">
        <is>
          <t xml:space="preserve">　　６　＊印のあるものは、④に住棟受信機の表示番号、警戒区域又は住戸等ごとに個数及び試験結果を記入すること。</t>
        </is>
      </c>
      <c r="B120" s="103" t="n"/>
      <c r="C120" s="377" t="n"/>
      <c r="D120" s="377" t="n"/>
      <c r="E120" s="377" t="n"/>
      <c r="F120" s="377" t="n"/>
      <c r="G120" s="377" t="n"/>
      <c r="H120" s="377" t="n"/>
      <c r="I120" s="377" t="n"/>
      <c r="J120" s="377" t="n"/>
      <c r="K120" s="377" t="n"/>
      <c r="L120" s="377" t="n"/>
      <c r="M120" s="377" t="n"/>
      <c r="N120" s="377" t="n"/>
      <c r="O120" s="377" t="n"/>
      <c r="P120" s="377" t="n"/>
      <c r="Q120" s="377" t="n"/>
      <c r="R120" s="377" t="n"/>
    </row>
    <row r="121" ht="18" customHeight="1">
      <c r="A121" s="378" t="n"/>
      <c r="B121" s="379" t="n"/>
      <c r="C121" s="380" t="n"/>
      <c r="D121" s="381" t="n"/>
      <c r="E121" s="381" t="n"/>
      <c r="F121" s="348" t="n"/>
      <c r="G121" s="381" t="n"/>
      <c r="H121" s="381" t="n"/>
      <c r="I121" s="381" t="n"/>
      <c r="J121" s="381" t="n"/>
      <c r="K121" s="381" t="n"/>
      <c r="L121" s="381" t="n"/>
      <c r="M121" s="381" t="n"/>
    </row>
    <row r="122" ht="18" customHeight="1">
      <c r="A122" s="378" t="n"/>
      <c r="B122" s="382" t="n"/>
      <c r="C122" s="380" t="n"/>
      <c r="D122" s="381" t="n"/>
      <c r="E122" s="381" t="n"/>
      <c r="F122" s="381" t="n"/>
      <c r="G122" s="381" t="n"/>
      <c r="H122" s="381" t="n"/>
      <c r="I122" s="381" t="n"/>
      <c r="J122" s="381" t="n"/>
      <c r="K122" s="381" t="n"/>
      <c r="L122" s="381" t="n"/>
      <c r="M122" s="381" t="n"/>
    </row>
    <row r="123" ht="18" customHeight="1">
      <c r="A123" s="378" t="n"/>
      <c r="B123" s="379" t="n"/>
      <c r="C123" s="380" t="n"/>
      <c r="D123" s="381" t="n"/>
      <c r="E123" s="381" t="n"/>
      <c r="F123" s="381" t="n"/>
      <c r="G123" s="381" t="n"/>
      <c r="H123" s="381" t="n"/>
      <c r="I123" s="381" t="n"/>
      <c r="J123" s="381" t="n"/>
      <c r="K123" s="381" t="n"/>
      <c r="L123" s="381" t="n"/>
      <c r="M123" s="381" t="n"/>
    </row>
    <row r="124" ht="18" customHeight="1">
      <c r="A124" s="378" t="n"/>
      <c r="B124" s="379" t="n"/>
      <c r="C124" s="380" t="n"/>
      <c r="D124" s="381" t="n"/>
      <c r="E124" s="381" t="n"/>
      <c r="F124" s="381" t="n"/>
      <c r="G124" s="381" t="n"/>
      <c r="H124" s="381" t="n"/>
      <c r="I124" s="381" t="n"/>
      <c r="J124" s="381" t="n"/>
      <c r="K124" s="381" t="n"/>
      <c r="L124" s="381" t="n"/>
      <c r="M124" s="381" t="n"/>
    </row>
    <row r="125" ht="18" customHeight="1">
      <c r="A125" s="378" t="n"/>
      <c r="B125" s="379" t="n"/>
      <c r="C125" s="380" t="n"/>
      <c r="D125" s="381" t="n"/>
      <c r="E125" s="381" t="n"/>
      <c r="F125" s="381" t="n"/>
      <c r="G125" s="381" t="n"/>
      <c r="H125" s="381" t="n"/>
      <c r="I125" s="381" t="n"/>
      <c r="J125" s="381" t="n"/>
      <c r="K125" s="381" t="n"/>
      <c r="L125" s="381" t="n"/>
      <c r="M125" s="381" t="n"/>
    </row>
    <row r="126" ht="18" customHeight="1">
      <c r="A126" s="378" t="n"/>
      <c r="B126" s="379" t="n"/>
      <c r="C126" s="380" t="n"/>
      <c r="D126" s="381" t="n"/>
      <c r="E126" s="381" t="n"/>
      <c r="F126" s="381" t="n"/>
      <c r="G126" s="381" t="n"/>
      <c r="H126" s="381" t="n"/>
      <c r="I126" s="381" t="n"/>
      <c r="J126" s="381" t="n"/>
      <c r="K126" s="381" t="n"/>
      <c r="L126" s="381" t="n"/>
      <c r="M126" s="381" t="n"/>
    </row>
    <row r="127" ht="18" customHeight="1">
      <c r="A127" s="378" t="n"/>
      <c r="B127" s="379" t="n"/>
      <c r="C127" s="380" t="n"/>
      <c r="D127" s="381" t="n"/>
      <c r="E127" s="381" t="n"/>
      <c r="F127" s="381" t="n"/>
      <c r="G127" s="381" t="n"/>
      <c r="H127" s="381" t="n"/>
      <c r="I127" s="381" t="n"/>
      <c r="J127" s="381" t="n"/>
      <c r="K127" s="381" t="n"/>
      <c r="L127" s="381" t="n"/>
      <c r="M127" s="381" t="n"/>
    </row>
    <row r="128" ht="18" customHeight="1">
      <c r="A128" s="378" t="n"/>
      <c r="B128" s="379" t="n"/>
      <c r="C128" s="380" t="n"/>
      <c r="D128" s="381" t="n"/>
      <c r="E128" s="381" t="n"/>
      <c r="F128" s="381" t="n"/>
      <c r="G128" s="381" t="n"/>
      <c r="H128" s="381" t="n"/>
      <c r="I128" s="381" t="n"/>
      <c r="J128" s="381" t="n"/>
      <c r="K128" s="381" t="n"/>
      <c r="L128" s="381" t="n"/>
      <c r="M128" s="381" t="n"/>
    </row>
    <row r="129" ht="18" customHeight="1">
      <c r="A129" s="378" t="n"/>
      <c r="B129" s="379" t="n"/>
      <c r="C129" s="380" t="n"/>
      <c r="D129" s="381" t="n"/>
      <c r="E129" s="381" t="n"/>
      <c r="F129" s="381" t="n"/>
      <c r="G129" s="381" t="n"/>
      <c r="H129" s="381" t="n"/>
      <c r="I129" s="381" t="n"/>
      <c r="J129" s="381" t="n"/>
      <c r="K129" s="381" t="n"/>
      <c r="L129" s="381" t="n"/>
      <c r="M129" s="381" t="n"/>
    </row>
    <row r="130" ht="18" customHeight="1">
      <c r="A130" s="378" t="n"/>
      <c r="B130" s="379" t="n"/>
      <c r="C130" s="380" t="n"/>
      <c r="D130" s="381" t="n"/>
      <c r="E130" s="381" t="n"/>
      <c r="F130" s="381" t="n"/>
      <c r="G130" s="381" t="n"/>
      <c r="H130" s="381" t="n"/>
      <c r="I130" s="381" t="n"/>
      <c r="J130" s="381" t="n"/>
      <c r="K130" s="381" t="n"/>
      <c r="L130" s="381" t="n"/>
      <c r="M130" s="381" t="n"/>
    </row>
    <row r="131" ht="18" customHeight="1">
      <c r="A131" s="378" t="n"/>
      <c r="B131" s="379" t="n"/>
      <c r="C131" s="380" t="n"/>
      <c r="D131" s="381" t="n"/>
      <c r="E131" s="381" t="n"/>
      <c r="F131" s="381" t="n"/>
      <c r="G131" s="381" t="n"/>
      <c r="H131" s="381" t="n"/>
      <c r="I131" s="381" t="n"/>
      <c r="J131" s="381" t="n"/>
      <c r="K131" s="381" t="n"/>
      <c r="L131" s="381" t="n"/>
      <c r="M131" s="381" t="n"/>
    </row>
    <row r="132" ht="18" customHeight="1">
      <c r="A132" s="378" t="n"/>
      <c r="B132" s="346" t="n"/>
      <c r="C132" s="380" t="n"/>
      <c r="D132" s="381" t="n"/>
      <c r="E132" s="381" t="n"/>
      <c r="F132" s="381" t="n"/>
      <c r="G132" s="381" t="n"/>
      <c r="H132" s="381" t="n"/>
      <c r="I132" s="381" t="n"/>
      <c r="J132" s="381" t="n"/>
      <c r="K132" s="381" t="n"/>
      <c r="L132" s="381" t="n"/>
      <c r="M132" s="381" t="n"/>
    </row>
    <row r="133" ht="18" customHeight="1">
      <c r="A133" s="378" t="n"/>
      <c r="B133" s="379" t="n"/>
      <c r="C133" s="380" t="n"/>
      <c r="D133" s="381" t="n"/>
      <c r="E133" s="381" t="n"/>
      <c r="F133" s="381" t="n"/>
      <c r="G133" s="381" t="n"/>
      <c r="H133" s="381" t="n"/>
      <c r="I133" s="381" t="n"/>
      <c r="J133" s="381" t="n"/>
      <c r="K133" s="381" t="n"/>
      <c r="L133" s="381" t="n"/>
      <c r="M133" s="381" t="n"/>
    </row>
    <row r="134" ht="18" customHeight="1">
      <c r="A134" s="378" t="n"/>
      <c r="B134" s="379" t="n"/>
      <c r="C134" s="380" t="n"/>
      <c r="D134" s="381" t="n"/>
      <c r="E134" s="381" t="n"/>
      <c r="F134" s="381" t="n"/>
      <c r="G134" s="381" t="n"/>
      <c r="H134" s="381" t="n"/>
      <c r="I134" s="381" t="n"/>
      <c r="J134" s="381" t="n"/>
      <c r="K134" s="381" t="n"/>
      <c r="L134" s="381" t="n"/>
      <c r="M134" s="381" t="n"/>
    </row>
    <row r="135" ht="18" customHeight="1">
      <c r="A135" s="378" t="n"/>
      <c r="B135" s="379" t="n"/>
      <c r="C135" s="380" t="n"/>
      <c r="D135" s="381" t="n"/>
      <c r="E135" s="381" t="n"/>
      <c r="F135" s="381" t="n"/>
      <c r="G135" s="381" t="n"/>
      <c r="H135" s="381" t="n"/>
      <c r="I135" s="381" t="n"/>
      <c r="J135" s="381" t="n"/>
      <c r="K135" s="381" t="n"/>
      <c r="L135" s="381" t="n"/>
      <c r="M135" s="381" t="n"/>
    </row>
    <row r="136" ht="18" customHeight="1">
      <c r="A136" s="378" t="n"/>
      <c r="B136" s="379" t="n"/>
      <c r="C136" s="380" t="n"/>
      <c r="D136" s="381" t="n"/>
      <c r="E136" s="381" t="n"/>
      <c r="F136" s="381" t="n"/>
      <c r="G136" s="381" t="n"/>
      <c r="H136" s="381" t="n"/>
      <c r="I136" s="381" t="n"/>
      <c r="J136" s="381" t="n"/>
      <c r="K136" s="381" t="n"/>
      <c r="L136" s="381" t="n"/>
      <c r="M136" s="381" t="n"/>
    </row>
    <row r="137" ht="18" customHeight="1">
      <c r="A137" s="378" t="n"/>
      <c r="B137" s="379" t="n"/>
      <c r="C137" s="380" t="n"/>
      <c r="D137" s="381" t="n"/>
      <c r="E137" s="381" t="n"/>
      <c r="F137" s="381" t="n"/>
      <c r="G137" s="381" t="n"/>
      <c r="H137" s="381" t="n"/>
      <c r="I137" s="381" t="n"/>
      <c r="J137" s="381" t="n"/>
      <c r="K137" s="381" t="n"/>
      <c r="L137" s="381" t="n"/>
      <c r="M137" s="381" t="n"/>
    </row>
    <row r="138" ht="18" customHeight="1">
      <c r="A138" s="378" t="n"/>
      <c r="B138" s="379" t="n"/>
      <c r="C138" s="380" t="n"/>
      <c r="D138" s="381" t="n"/>
      <c r="E138" s="381" t="n"/>
      <c r="F138" s="381" t="n"/>
      <c r="G138" s="381" t="n"/>
      <c r="H138" s="381" t="n"/>
      <c r="I138" s="381" t="n"/>
      <c r="J138" s="381" t="n"/>
      <c r="K138" s="381" t="n"/>
      <c r="L138" s="381" t="n"/>
      <c r="M138" s="381" t="n"/>
    </row>
    <row r="139" ht="18" customHeight="1">
      <c r="A139" s="383" t="n"/>
      <c r="B139" s="383" t="n"/>
      <c r="C139" s="381" t="n"/>
      <c r="D139" s="348" t="n"/>
      <c r="E139" s="381" t="n"/>
      <c r="F139" s="381" t="n"/>
      <c r="G139" s="381" t="n"/>
      <c r="H139" s="381" t="n"/>
      <c r="I139" s="381" t="n"/>
      <c r="J139" s="381" t="n"/>
      <c r="K139" s="381" t="n"/>
      <c r="L139" s="381" t="n"/>
      <c r="M139" s="381" t="n"/>
    </row>
    <row r="140" ht="18" customHeight="1">
      <c r="A140" s="384" t="n"/>
    </row>
    <row r="141" ht="18" customHeight="1">
      <c r="A141" s="384" t="n"/>
    </row>
    <row r="142" ht="18" customHeight="1">
      <c r="A142" s="384" t="n"/>
    </row>
    <row r="143" ht="18" customHeight="1">
      <c r="A143" s="384" t="n"/>
    </row>
    <row r="144" ht="18" customHeight="1">
      <c r="A144" s="384" t="n"/>
    </row>
    <row r="145" ht="18" customHeight="1">
      <c r="A145" s="384" t="n"/>
    </row>
    <row r="146"/>
    <row r="147" ht="18" customHeight="1">
      <c r="A147" s="385" t="n"/>
    </row>
    <row r="148" ht="18" customHeight="1">
      <c r="A148" s="383" t="n"/>
      <c r="B148" s="383" t="n"/>
      <c r="C148" s="383" t="n"/>
      <c r="D148" s="383" t="n"/>
      <c r="E148" s="383" t="n"/>
      <c r="F148" s="383" t="n"/>
      <c r="G148" s="383" t="n"/>
      <c r="H148" s="383" t="n"/>
      <c r="I148" s="383" t="n"/>
      <c r="J148" s="383" t="n"/>
      <c r="K148" s="383" t="n"/>
      <c r="L148" s="386" t="n"/>
      <c r="M148" s="386" t="n"/>
    </row>
    <row r="149" ht="18" customHeight="1">
      <c r="A149" s="386" t="n"/>
      <c r="B149" s="383" t="n"/>
      <c r="C149" s="383" t="n"/>
      <c r="D149" s="383" t="n"/>
      <c r="E149" s="386" t="n"/>
      <c r="F149" s="383" t="n"/>
      <c r="G149" s="383" t="n"/>
      <c r="H149" s="383" t="n"/>
      <c r="I149" s="383" t="n"/>
      <c r="J149" s="383" t="n"/>
      <c r="K149" s="386" t="n"/>
      <c r="L149" s="386" t="n"/>
      <c r="M149" s="386" t="n"/>
    </row>
    <row r="150" ht="18" customHeight="1">
      <c r="A150" s="386" t="n"/>
      <c r="B150" s="383" t="n"/>
      <c r="C150" s="386" t="n"/>
      <c r="D150" s="386" t="n"/>
      <c r="E150" s="386" t="n"/>
      <c r="F150" s="386" t="n"/>
      <c r="G150" s="386" t="n"/>
      <c r="H150" s="386" t="n"/>
      <c r="I150" s="383" t="n"/>
      <c r="J150" s="383" t="n"/>
      <c r="K150" s="386" t="n"/>
      <c r="L150" s="386" t="n"/>
      <c r="M150" s="386" t="n"/>
    </row>
    <row r="151" ht="18" customHeight="1">
      <c r="A151" s="386" t="n"/>
      <c r="B151" s="383" t="n"/>
      <c r="C151" s="386" t="n"/>
      <c r="D151" s="386" t="n"/>
      <c r="E151" s="386" t="n"/>
      <c r="F151" s="386" t="n"/>
      <c r="G151" s="386" t="n"/>
      <c r="H151" s="386" t="n"/>
      <c r="I151" s="387" t="n"/>
      <c r="J151" s="387" t="n"/>
      <c r="K151" s="386" t="n"/>
      <c r="L151" s="386" t="n"/>
      <c r="M151" s="386" t="n"/>
    </row>
    <row r="152" ht="18" customHeight="1">
      <c r="A152" s="378" t="n"/>
      <c r="B152" s="379" t="n"/>
      <c r="C152" s="380" t="n"/>
      <c r="D152" s="381" t="n"/>
      <c r="E152" s="381" t="n"/>
      <c r="F152" s="381" t="n"/>
      <c r="G152" s="381" t="n"/>
      <c r="H152" s="381" t="n"/>
      <c r="I152" s="381" t="n"/>
      <c r="J152" s="381" t="n"/>
      <c r="K152" s="381" t="n"/>
      <c r="L152" s="381" t="n"/>
      <c r="M152" s="381" t="n"/>
    </row>
    <row r="153" ht="18" customHeight="1">
      <c r="A153" s="388" t="n"/>
      <c r="B153" s="382" t="n"/>
      <c r="C153" s="380" t="n"/>
      <c r="D153" s="381" t="n"/>
      <c r="E153" s="381" t="n"/>
      <c r="F153" s="381" t="n"/>
      <c r="G153" s="381" t="n"/>
      <c r="H153" s="381" t="n"/>
      <c r="I153" s="381" t="n"/>
      <c r="J153" s="381" t="n"/>
      <c r="K153" s="381" t="n"/>
      <c r="L153" s="381" t="n"/>
      <c r="M153" s="381" t="n"/>
    </row>
    <row r="154" ht="18" customHeight="1">
      <c r="A154" s="388" t="n"/>
      <c r="B154" s="379" t="n"/>
      <c r="C154" s="380" t="n"/>
      <c r="D154" s="381" t="n"/>
      <c r="E154" s="381" t="n"/>
      <c r="F154" s="381" t="n"/>
      <c r="G154" s="381" t="n"/>
      <c r="H154" s="381" t="n"/>
      <c r="I154" s="381" t="n"/>
      <c r="J154" s="381" t="n"/>
      <c r="K154" s="381" t="n"/>
      <c r="L154" s="381" t="n"/>
      <c r="M154" s="381" t="n"/>
    </row>
    <row r="155" ht="18" customHeight="1">
      <c r="A155" s="388" t="n"/>
      <c r="B155" s="379" t="n"/>
      <c r="C155" s="380" t="n"/>
      <c r="D155" s="381" t="n"/>
      <c r="E155" s="381" t="n"/>
      <c r="F155" s="381" t="n"/>
      <c r="G155" s="381" t="n"/>
      <c r="H155" s="381" t="n"/>
      <c r="I155" s="381" t="n"/>
      <c r="J155" s="381" t="n"/>
      <c r="K155" s="381" t="n"/>
      <c r="L155" s="381" t="n"/>
      <c r="M155" s="381" t="n"/>
    </row>
    <row r="156" ht="18" customHeight="1">
      <c r="A156" s="388" t="n"/>
      <c r="B156" s="379" t="n"/>
      <c r="C156" s="380" t="n"/>
      <c r="D156" s="381" t="n"/>
      <c r="E156" s="381" t="n"/>
      <c r="F156" s="381" t="n"/>
      <c r="G156" s="381" t="n"/>
      <c r="H156" s="381" t="n"/>
      <c r="I156" s="381" t="n"/>
      <c r="J156" s="381" t="n"/>
      <c r="K156" s="381" t="n"/>
      <c r="L156" s="381" t="n"/>
      <c r="M156" s="381" t="n"/>
    </row>
    <row r="157" ht="18" customHeight="1">
      <c r="A157" s="388" t="n"/>
      <c r="B157" s="379" t="n"/>
      <c r="C157" s="380" t="n"/>
      <c r="D157" s="381" t="n"/>
      <c r="E157" s="381" t="n"/>
      <c r="F157" s="381" t="n"/>
      <c r="G157" s="381" t="n"/>
      <c r="H157" s="381" t="n"/>
      <c r="I157" s="381" t="n"/>
      <c r="J157" s="381" t="n"/>
      <c r="K157" s="381" t="n"/>
      <c r="L157" s="381" t="n"/>
      <c r="M157" s="381" t="n"/>
    </row>
    <row r="158" ht="18" customHeight="1">
      <c r="A158" s="388" t="n"/>
      <c r="B158" s="379" t="n"/>
      <c r="C158" s="380" t="n"/>
      <c r="D158" s="381" t="n"/>
      <c r="E158" s="381" t="n"/>
      <c r="F158" s="381" t="n"/>
      <c r="G158" s="381" t="n"/>
      <c r="H158" s="381" t="n"/>
      <c r="I158" s="381" t="n"/>
      <c r="J158" s="381" t="n"/>
      <c r="K158" s="381" t="n"/>
      <c r="L158" s="381" t="n"/>
      <c r="M158" s="381" t="n"/>
    </row>
    <row r="159" ht="18" customHeight="1">
      <c r="A159" s="388" t="n"/>
      <c r="B159" s="379" t="n"/>
      <c r="C159" s="380" t="n"/>
      <c r="D159" s="381" t="n"/>
      <c r="E159" s="381" t="n"/>
      <c r="F159" s="381" t="n"/>
      <c r="G159" s="381" t="n"/>
      <c r="H159" s="381" t="n"/>
      <c r="I159" s="381" t="n"/>
      <c r="J159" s="381" t="n"/>
      <c r="K159" s="381" t="n"/>
      <c r="L159" s="381" t="n"/>
      <c r="M159" s="381" t="n"/>
    </row>
    <row r="160" ht="18" customHeight="1">
      <c r="A160" s="388" t="n"/>
      <c r="B160" s="379" t="n"/>
      <c r="C160" s="380" t="n"/>
      <c r="D160" s="381" t="n"/>
      <c r="E160" s="381" t="n"/>
      <c r="F160" s="381" t="n"/>
      <c r="G160" s="381" t="n"/>
      <c r="H160" s="381" t="n"/>
      <c r="I160" s="381" t="n"/>
      <c r="J160" s="381" t="n"/>
      <c r="K160" s="381" t="n"/>
      <c r="L160" s="381" t="n"/>
      <c r="M160" s="381" t="n"/>
    </row>
    <row r="161" ht="18" customHeight="1">
      <c r="A161" s="388" t="n"/>
      <c r="B161" s="379" t="n"/>
      <c r="C161" s="380" t="n"/>
      <c r="D161" s="381" t="n"/>
      <c r="E161" s="381" t="n"/>
      <c r="F161" s="381" t="n"/>
      <c r="G161" s="381" t="n"/>
      <c r="H161" s="381" t="n"/>
      <c r="I161" s="381" t="n"/>
      <c r="J161" s="381" t="n"/>
      <c r="K161" s="381" t="n"/>
      <c r="L161" s="381" t="n"/>
      <c r="M161" s="381" t="n"/>
    </row>
    <row r="162" ht="18" customHeight="1">
      <c r="A162" s="388" t="n"/>
      <c r="B162" s="379" t="n"/>
      <c r="C162" s="380" t="n"/>
      <c r="D162" s="389" t="n"/>
      <c r="E162" s="381" t="n"/>
      <c r="F162" s="389" t="n"/>
      <c r="G162" s="381" t="n"/>
      <c r="H162" s="381" t="n"/>
      <c r="I162" s="381" t="n"/>
      <c r="J162" s="381" t="n"/>
      <c r="K162" s="381" t="n"/>
      <c r="L162" s="381" t="n"/>
      <c r="M162" s="381" t="n"/>
    </row>
    <row r="163" ht="18" customHeight="1">
      <c r="A163" s="388" t="n"/>
      <c r="B163" s="346" t="n"/>
      <c r="C163" s="380" t="n"/>
      <c r="D163" s="389" t="n"/>
      <c r="E163" s="390" t="n"/>
      <c r="F163" s="389" t="n"/>
      <c r="G163" s="381" t="n"/>
      <c r="H163" s="381" t="n"/>
      <c r="I163" s="381" t="n"/>
      <c r="J163" s="381" t="n"/>
      <c r="K163" s="381" t="n"/>
      <c r="L163" s="381" t="n"/>
      <c r="M163" s="381" t="n"/>
    </row>
    <row r="164" ht="18" customHeight="1">
      <c r="A164" s="388" t="n"/>
      <c r="B164" s="379" t="n"/>
      <c r="C164" s="380" t="n"/>
      <c r="D164" s="390" t="n"/>
      <c r="E164" s="390" t="n"/>
      <c r="F164" s="390" t="n"/>
      <c r="G164" s="381" t="n"/>
      <c r="H164" s="381" t="n"/>
      <c r="I164" s="381" t="n"/>
      <c r="J164" s="381" t="n"/>
      <c r="K164" s="381" t="n"/>
      <c r="L164" s="381" t="n"/>
      <c r="M164" s="381" t="n"/>
    </row>
    <row r="165" ht="18" customHeight="1">
      <c r="A165" s="388" t="n"/>
      <c r="B165" s="379" t="n"/>
      <c r="C165" s="380" t="n"/>
      <c r="D165" s="381" t="n"/>
      <c r="E165" s="381" t="n"/>
      <c r="F165" s="381" t="n"/>
      <c r="G165" s="381" t="n"/>
      <c r="H165" s="381" t="n"/>
      <c r="I165" s="381" t="n"/>
      <c r="J165" s="381" t="n"/>
      <c r="K165" s="381" t="n"/>
      <c r="L165" s="381" t="n"/>
      <c r="M165" s="381" t="n"/>
    </row>
    <row r="166" ht="18" customHeight="1">
      <c r="A166" s="388" t="n"/>
      <c r="B166" s="379" t="n"/>
      <c r="C166" s="380" t="n"/>
      <c r="D166" s="381" t="n"/>
      <c r="E166" s="381" t="n"/>
      <c r="F166" s="381" t="n"/>
      <c r="G166" s="381" t="n"/>
      <c r="H166" s="381" t="n"/>
      <c r="I166" s="381" t="n"/>
      <c r="J166" s="381" t="n"/>
      <c r="K166" s="381" t="n"/>
      <c r="L166" s="381" t="n"/>
      <c r="M166" s="381" t="n"/>
    </row>
    <row r="167" ht="18" customHeight="1">
      <c r="A167" s="388" t="n"/>
      <c r="B167" s="379" t="n"/>
      <c r="C167" s="380" t="n"/>
      <c r="D167" s="381" t="n"/>
      <c r="E167" s="381" t="n"/>
      <c r="F167" s="381" t="n"/>
      <c r="G167" s="381" t="n"/>
      <c r="H167" s="381" t="n"/>
      <c r="I167" s="381" t="n"/>
      <c r="J167" s="381" t="n"/>
      <c r="K167" s="381" t="n"/>
      <c r="L167" s="381" t="n"/>
      <c r="M167" s="381" t="n"/>
    </row>
    <row r="168" ht="18" customHeight="1">
      <c r="A168" s="383" t="n"/>
      <c r="B168" s="383" t="n"/>
      <c r="C168" s="383" t="n"/>
      <c r="D168" s="348" t="n"/>
      <c r="E168" s="383" t="n"/>
      <c r="F168" s="348" t="n"/>
      <c r="G168" s="383" t="n"/>
      <c r="H168" s="383" t="n"/>
      <c r="I168" s="383" t="n"/>
      <c r="J168" s="383" t="n"/>
      <c r="K168" s="383" t="n"/>
      <c r="L168" s="383" t="n"/>
      <c r="M168" s="383" t="n"/>
    </row>
    <row r="169" ht="18" customHeight="1">
      <c r="A169" s="383" t="n"/>
      <c r="B169" s="383" t="n"/>
      <c r="C169" s="383" t="n"/>
      <c r="D169" s="391" t="n"/>
      <c r="E169" s="383" t="n"/>
      <c r="F169" s="389" t="n"/>
      <c r="G169" s="383" t="n"/>
      <c r="H169" s="383" t="n"/>
      <c r="I169" s="383" t="n"/>
      <c r="J169" s="383" t="n"/>
      <c r="K169" s="383" t="n"/>
      <c r="L169" s="383" t="n"/>
      <c r="M169" s="383" t="n"/>
    </row>
    <row r="170" ht="18" customHeight="1">
      <c r="A170" s="348" t="n"/>
      <c r="B170" s="383" t="n"/>
      <c r="C170" s="383" t="n"/>
      <c r="D170" s="383" t="n"/>
      <c r="E170" s="383" t="n"/>
      <c r="F170" s="383" t="n"/>
      <c r="G170" s="383" t="n"/>
      <c r="H170" s="383" t="n"/>
      <c r="I170" s="383" t="n"/>
      <c r="J170" s="383" t="n"/>
      <c r="K170" s="383" t="n"/>
      <c r="L170" s="383" t="n"/>
      <c r="M170" s="383" t="n"/>
    </row>
    <row r="171" ht="18" customHeight="1">
      <c r="A171" s="384" t="n"/>
    </row>
    <row r="172" ht="18" customHeight="1">
      <c r="A172" s="384" t="n"/>
    </row>
    <row r="173" ht="18" customHeight="1">
      <c r="A173" s="384" t="n"/>
    </row>
    <row r="174" ht="18" customHeight="1">
      <c r="A174" s="384" t="n"/>
    </row>
    <row r="175" ht="18" customHeight="1">
      <c r="A175" s="384" t="n"/>
    </row>
    <row r="176" ht="18" customHeight="1">
      <c r="A176" s="384" t="n"/>
    </row>
  </sheetData>
  <mergeCells count="339">
    <mergeCell ref="L98:P98"/>
    <mergeCell ref="H101:K101"/>
    <mergeCell ref="B23:J23"/>
    <mergeCell ref="F50:K50"/>
    <mergeCell ref="H76:K76"/>
    <mergeCell ref="L106:P106"/>
    <mergeCell ref="L93:P93"/>
    <mergeCell ref="Q88:R88"/>
    <mergeCell ref="Q63:R63"/>
    <mergeCell ref="Q90:R90"/>
    <mergeCell ref="O40:P40"/>
    <mergeCell ref="E87:G88"/>
    <mergeCell ref="E81:G83"/>
    <mergeCell ref="Q27:R27"/>
    <mergeCell ref="I49:K49"/>
    <mergeCell ref="E89:G90"/>
    <mergeCell ref="N32:P32"/>
    <mergeCell ref="L59:P59"/>
    <mergeCell ref="E105:G106"/>
    <mergeCell ref="L46:P46"/>
    <mergeCell ref="L111:P111"/>
    <mergeCell ref="L61:P61"/>
    <mergeCell ref="F55:K55"/>
    <mergeCell ref="L48:P48"/>
    <mergeCell ref="E110:K110"/>
    <mergeCell ref="D41:F41"/>
    <mergeCell ref="H105:K105"/>
    <mergeCell ref="Q37:R37"/>
    <mergeCell ref="F70:K70"/>
    <mergeCell ref="L112:P112"/>
    <mergeCell ref="B47:E52"/>
    <mergeCell ref="Q38:R38"/>
    <mergeCell ref="F71:K71"/>
    <mergeCell ref="K22:O22"/>
    <mergeCell ref="F58:K58"/>
    <mergeCell ref="F52:K52"/>
    <mergeCell ref="A81:A113"/>
    <mergeCell ref="Q40:R40"/>
    <mergeCell ref="H102:K102"/>
    <mergeCell ref="E114:R114"/>
    <mergeCell ref="F60:K60"/>
    <mergeCell ref="F68:K68"/>
    <mergeCell ref="L49:P49"/>
    <mergeCell ref="P22:R22"/>
    <mergeCell ref="Q104:R104"/>
    <mergeCell ref="E108:K108"/>
    <mergeCell ref="Q91:R91"/>
    <mergeCell ref="Q106:R106"/>
    <mergeCell ref="Q77:R77"/>
    <mergeCell ref="L67:P67"/>
    <mergeCell ref="H97:K97"/>
    <mergeCell ref="F46:K46"/>
    <mergeCell ref="Q72:R72"/>
    <mergeCell ref="L62:P62"/>
    <mergeCell ref="F61:K61"/>
    <mergeCell ref="G72:G76"/>
    <mergeCell ref="A80:K80"/>
    <mergeCell ref="Q109:R109"/>
    <mergeCell ref="D15:R15"/>
    <mergeCell ref="L64:P64"/>
    <mergeCell ref="L13:R13"/>
    <mergeCell ref="L51:P51"/>
    <mergeCell ref="Q59:R59"/>
    <mergeCell ref="B96:D101"/>
    <mergeCell ref="Q46:R46"/>
    <mergeCell ref="N35:P35"/>
    <mergeCell ref="I16:R16"/>
    <mergeCell ref="Q61:R61"/>
    <mergeCell ref="Q48:R48"/>
    <mergeCell ref="B71:E77"/>
    <mergeCell ref="Q41:R41"/>
    <mergeCell ref="B38:K38"/>
    <mergeCell ref="A6:R6"/>
    <mergeCell ref="Q56:R56"/>
    <mergeCell ref="L82:P82"/>
    <mergeCell ref="J13:K13"/>
    <mergeCell ref="L75:P75"/>
    <mergeCell ref="B33:K33"/>
    <mergeCell ref="D21:E21"/>
    <mergeCell ref="A3:R3"/>
    <mergeCell ref="H92:K92"/>
    <mergeCell ref="B35:K35"/>
    <mergeCell ref="A5:R5"/>
    <mergeCell ref="E85:G85"/>
    <mergeCell ref="Q34:R34"/>
    <mergeCell ref="F72:F77"/>
    <mergeCell ref="Q36:R36"/>
    <mergeCell ref="D18:E18"/>
    <mergeCell ref="H98:K98"/>
    <mergeCell ref="F69:K69"/>
    <mergeCell ref="H73:K73"/>
    <mergeCell ref="A19:C21"/>
    <mergeCell ref="L72:P72"/>
    <mergeCell ref="B22:J22"/>
    <mergeCell ref="K10:R10"/>
    <mergeCell ref="B34:K34"/>
    <mergeCell ref="L65:P65"/>
    <mergeCell ref="B28:K28"/>
    <mergeCell ref="F51:K51"/>
    <mergeCell ref="Q112:R112"/>
    <mergeCell ref="G77:K77"/>
    <mergeCell ref="B30:K30"/>
    <mergeCell ref="Q62:R62"/>
    <mergeCell ref="A27:A39"/>
    <mergeCell ref="E93:K93"/>
    <mergeCell ref="Q64:R64"/>
    <mergeCell ref="H82:K82"/>
    <mergeCell ref="Q51:R51"/>
    <mergeCell ref="F67:K67"/>
    <mergeCell ref="Q93:R93"/>
    <mergeCell ref="L83:P83"/>
    <mergeCell ref="H113:K113"/>
    <mergeCell ref="L58:P58"/>
    <mergeCell ref="L85:P85"/>
    <mergeCell ref="L60:P60"/>
    <mergeCell ref="L84:P84"/>
    <mergeCell ref="L80:P80"/>
    <mergeCell ref="E104:K104"/>
    <mergeCell ref="Q75:R75"/>
    <mergeCell ref="H81:K81"/>
    <mergeCell ref="F59:K59"/>
    <mergeCell ref="B111:D111"/>
    <mergeCell ref="B102:D106"/>
    <mergeCell ref="Q52:R52"/>
    <mergeCell ref="Q39:R39"/>
    <mergeCell ref="B36:K36"/>
    <mergeCell ref="A22:A26"/>
    <mergeCell ref="L71:P71"/>
    <mergeCell ref="B31:K31"/>
    <mergeCell ref="L73:P73"/>
    <mergeCell ref="E107:K107"/>
    <mergeCell ref="B39:K39"/>
    <mergeCell ref="Q65:R65"/>
    <mergeCell ref="H94:K94"/>
    <mergeCell ref="A40:C42"/>
    <mergeCell ref="D40:F40"/>
    <mergeCell ref="N37:P37"/>
    <mergeCell ref="L86:P86"/>
    <mergeCell ref="L101:P101"/>
    <mergeCell ref="Q83:R83"/>
    <mergeCell ref="Q85:R85"/>
    <mergeCell ref="X53:AB53"/>
    <mergeCell ref="L104:P104"/>
    <mergeCell ref="E102:G102"/>
    <mergeCell ref="N27:P27"/>
    <mergeCell ref="L54:P54"/>
    <mergeCell ref="Q80:R80"/>
    <mergeCell ref="E94:G95"/>
    <mergeCell ref="P25:R25"/>
    <mergeCell ref="L56:P56"/>
    <mergeCell ref="L105:P105"/>
    <mergeCell ref="L99:P99"/>
    <mergeCell ref="H100:K100"/>
    <mergeCell ref="L110:P110"/>
    <mergeCell ref="Q33:R33"/>
    <mergeCell ref="H95:K95"/>
    <mergeCell ref="F66:K66"/>
    <mergeCell ref="B67:E68"/>
    <mergeCell ref="N38:P38"/>
    <mergeCell ref="B69:E70"/>
    <mergeCell ref="L92:P92"/>
    <mergeCell ref="L102:P102"/>
    <mergeCell ref="L94:P94"/>
    <mergeCell ref="Q84:R84"/>
    <mergeCell ref="F21:R21"/>
    <mergeCell ref="Q86:R86"/>
    <mergeCell ref="H88:K88"/>
    <mergeCell ref="Q101:R101"/>
    <mergeCell ref="H90:K90"/>
    <mergeCell ref="N33:P33"/>
    <mergeCell ref="L107:P107"/>
    <mergeCell ref="K9:R9"/>
    <mergeCell ref="L57:P57"/>
    <mergeCell ref="A114:D114"/>
    <mergeCell ref="N28:P28"/>
    <mergeCell ref="O41:P41"/>
    <mergeCell ref="Q35:R35"/>
    <mergeCell ref="N30:P30"/>
    <mergeCell ref="C14:R14"/>
    <mergeCell ref="Q99:R99"/>
    <mergeCell ref="E103:K103"/>
    <mergeCell ref="Q74:R74"/>
    <mergeCell ref="Q49:R49"/>
    <mergeCell ref="Q110:R110"/>
    <mergeCell ref="Q30:R30"/>
    <mergeCell ref="B25:J25"/>
    <mergeCell ref="Q76:R76"/>
    <mergeCell ref="L108:P108"/>
    <mergeCell ref="I47:K47"/>
    <mergeCell ref="L95:P95"/>
    <mergeCell ref="L70:P70"/>
    <mergeCell ref="A46:A70"/>
    <mergeCell ref="H96:K96"/>
    <mergeCell ref="K25:O25"/>
    <mergeCell ref="H87:K87"/>
    <mergeCell ref="E84:G84"/>
    <mergeCell ref="L103:P103"/>
    <mergeCell ref="L97:P97"/>
    <mergeCell ref="L47:P47"/>
    <mergeCell ref="Q54:R54"/>
    <mergeCell ref="Q102:R102"/>
    <mergeCell ref="Q29:R29"/>
    <mergeCell ref="H91:K91"/>
    <mergeCell ref="F56:K56"/>
    <mergeCell ref="N34:P34"/>
    <mergeCell ref="Q31:R31"/>
    <mergeCell ref="B110:D110"/>
    <mergeCell ref="N36:P36"/>
    <mergeCell ref="L63:P63"/>
    <mergeCell ref="F57:K57"/>
    <mergeCell ref="Q89:R89"/>
    <mergeCell ref="L50:P50"/>
    <mergeCell ref="Q105:R105"/>
    <mergeCell ref="L52:P52"/>
    <mergeCell ref="E96:G98"/>
    <mergeCell ref="F17:R17"/>
    <mergeCell ref="Q107:R107"/>
    <mergeCell ref="E86:K86"/>
    <mergeCell ref="Q57:R57"/>
    <mergeCell ref="B108:D109"/>
    <mergeCell ref="E91:G92"/>
    <mergeCell ref="H75:K75"/>
    <mergeCell ref="Q100:R100"/>
    <mergeCell ref="A71:A77"/>
    <mergeCell ref="A45:K45"/>
    <mergeCell ref="F62:K62"/>
    <mergeCell ref="H106:K106"/>
    <mergeCell ref="I48:K48"/>
    <mergeCell ref="K40:L40"/>
    <mergeCell ref="D17:E17"/>
    <mergeCell ref="M40:N40"/>
    <mergeCell ref="A4:R4"/>
    <mergeCell ref="L55:P55"/>
    <mergeCell ref="D16:H16"/>
    <mergeCell ref="H74:K74"/>
    <mergeCell ref="Q95:R95"/>
    <mergeCell ref="Q70:R70"/>
    <mergeCell ref="F54:K54"/>
    <mergeCell ref="Q45:R45"/>
    <mergeCell ref="D19:R19"/>
    <mergeCell ref="Q32:R32"/>
    <mergeCell ref="B29:K29"/>
    <mergeCell ref="Q47:R47"/>
    <mergeCell ref="Q96:R96"/>
    <mergeCell ref="B53:E55"/>
    <mergeCell ref="N39:P39"/>
    <mergeCell ref="L66:P66"/>
    <mergeCell ref="E112:G113"/>
    <mergeCell ref="L53:P53"/>
    <mergeCell ref="A15:C18"/>
    <mergeCell ref="F47:H49"/>
    <mergeCell ref="B32:K32"/>
    <mergeCell ref="L68:P68"/>
    <mergeCell ref="Q58:R58"/>
    <mergeCell ref="E101:G101"/>
    <mergeCell ref="Q50:R50"/>
    <mergeCell ref="H112:K112"/>
    <mergeCell ref="Q60:R60"/>
    <mergeCell ref="B27:K27"/>
    <mergeCell ref="F65:K65"/>
    <mergeCell ref="L81:P81"/>
    <mergeCell ref="B56:E57"/>
    <mergeCell ref="B37:K37"/>
    <mergeCell ref="D20:E20"/>
    <mergeCell ref="Q71:R71"/>
    <mergeCell ref="Q55:R55"/>
    <mergeCell ref="Q111:R111"/>
    <mergeCell ref="A2:R2"/>
    <mergeCell ref="Q73:R73"/>
    <mergeCell ref="L74:P74"/>
    <mergeCell ref="B24:J24"/>
    <mergeCell ref="L76:P76"/>
    <mergeCell ref="B26:J26"/>
    <mergeCell ref="F53:K53"/>
    <mergeCell ref="L69:P69"/>
    <mergeCell ref="H89:K89"/>
    <mergeCell ref="G42:R42"/>
    <mergeCell ref="B112:D113"/>
    <mergeCell ref="Q66:R66"/>
    <mergeCell ref="H72:K72"/>
    <mergeCell ref="Q53:R53"/>
    <mergeCell ref="B107:D107"/>
    <mergeCell ref="Q68:R68"/>
    <mergeCell ref="Q97:R97"/>
    <mergeCell ref="L87:P87"/>
    <mergeCell ref="L89:P89"/>
    <mergeCell ref="L88:P88"/>
    <mergeCell ref="H83:K83"/>
    <mergeCell ref="Q81:R81"/>
    <mergeCell ref="K23:O23"/>
    <mergeCell ref="L113:P113"/>
    <mergeCell ref="F20:R20"/>
    <mergeCell ref="H85:K85"/>
    <mergeCell ref="F63:K63"/>
    <mergeCell ref="L100:P100"/>
    <mergeCell ref="C12:R12"/>
    <mergeCell ref="L77:P77"/>
    <mergeCell ref="Q28:R28"/>
    <mergeCell ref="P23:R23"/>
    <mergeCell ref="Q92:R92"/>
    <mergeCell ref="E109:K109"/>
    <mergeCell ref="B58:D66"/>
    <mergeCell ref="Q67:R67"/>
    <mergeCell ref="Q103:R103"/>
    <mergeCell ref="Q94:R94"/>
    <mergeCell ref="E111:K111"/>
    <mergeCell ref="B81:D95"/>
    <mergeCell ref="Q69:R69"/>
    <mergeCell ref="A12:B12"/>
    <mergeCell ref="D42:F42"/>
    <mergeCell ref="A14:B14"/>
    <mergeCell ref="Q98:R98"/>
    <mergeCell ref="L96:P96"/>
    <mergeCell ref="F18:R18"/>
    <mergeCell ref="L90:P90"/>
    <mergeCell ref="H84:K84"/>
    <mergeCell ref="Q87:R87"/>
    <mergeCell ref="L91:P91"/>
    <mergeCell ref="K24:O24"/>
    <mergeCell ref="N29:P29"/>
    <mergeCell ref="K26:O26"/>
    <mergeCell ref="C13:I13"/>
    <mergeCell ref="Q82:R82"/>
    <mergeCell ref="N31:P31"/>
    <mergeCell ref="B46:E46"/>
    <mergeCell ref="L45:P45"/>
    <mergeCell ref="Q113:R113"/>
    <mergeCell ref="P24:R24"/>
    <mergeCell ref="L109:P109"/>
    <mergeCell ref="F64:K64"/>
    <mergeCell ref="P26:R26"/>
    <mergeCell ref="E99:G100"/>
    <mergeCell ref="Q108:R108"/>
    <mergeCell ref="G41:N41"/>
    <mergeCell ref="A13:B13"/>
    <mergeCell ref="E58:E66"/>
    <mergeCell ref="G40:H40"/>
    <mergeCell ref="I40:J40"/>
    <mergeCell ref="H99:K99"/>
  </mergeCells>
  <dataValidations count="1">
    <dataValidation sqref="Q46:R78" showDropDown="0" showInputMessage="1" showErrorMessage="1" allowBlank="1" type="list">
      <formula1>$AG$46:$AG$48</formula1>
    </dataValidation>
  </dataValidations>
  <pageMargins left="0.5118110236220472" right="0.5118110236220472" top="0.7480314960629921" bottom="0.5511811023622047" header="0.3149606299212598" footer="0.3149606299212598"/>
  <pageSetup orientation="portrait" paperSize="9"/>
</worksheet>
</file>

<file path=xl/worksheets/sheet9.xml><?xml version="1.0" encoding="utf-8"?>
<worksheet xmlns="http://schemas.openxmlformats.org/spreadsheetml/2006/main">
  <sheetPr>
    <tabColor theme="5" tint="0.7999816888943144"/>
    <outlinePr summaryBelow="1" summaryRight="1"/>
    <pageSetUpPr/>
  </sheetPr>
  <dimension ref="A1:AH182"/>
  <sheetViews>
    <sheetView workbookViewId="0">
      <selection activeCell="A1" sqref="A1"/>
    </sheetView>
  </sheetViews>
  <sheetFormatPr baseColWidth="8" defaultRowHeight="15"/>
  <cols>
    <col width="4.69921875" customWidth="1" min="1" max="1"/>
    <col width="20.19921875" customWidth="1" min="34" max="34"/>
    <col width="4.69921875" customWidth="1" min="35" max="35"/>
  </cols>
  <sheetData>
    <row r="1" ht="18" customHeight="1">
      <c r="A1" s="310" t="inlineStr">
        <is>
          <t>別記様式第34</t>
        </is>
      </c>
      <c r="R1" t="inlineStr">
        <is>
          <t>①</t>
        </is>
      </c>
    </row>
    <row r="2" ht="9" customHeight="1">
      <c r="A2" s="311" t="n"/>
    </row>
    <row r="3" ht="18" customHeight="1">
      <c r="A3" s="312" t="inlineStr">
        <is>
          <t>住戸用自動火災報知設備・共同住宅用自動火災報知設備試験結果報告書</t>
        </is>
      </c>
    </row>
    <row r="4" ht="9" customHeight="1">
      <c r="A4" s="313" t="n"/>
    </row>
    <row r="5" ht="18" customHeight="1">
      <c r="A5" s="314" t="inlineStr">
        <is>
          <t xml:space="preserve">試験実施日　　令和 　年    月    日　</t>
        </is>
      </c>
    </row>
    <row r="6" ht="9" customHeight="1">
      <c r="A6" s="313" t="n"/>
    </row>
    <row r="7" ht="18" customHeight="1">
      <c r="A7" s="315" t="n"/>
      <c r="B7" s="316" t="n"/>
      <c r="C7" s="316" t="n"/>
      <c r="D7" s="316" t="n"/>
      <c r="E7" s="316" t="n"/>
      <c r="F7" s="316" t="n"/>
      <c r="G7" s="316" t="n"/>
      <c r="H7" s="317" t="inlineStr">
        <is>
          <t>試験実施者</t>
        </is>
      </c>
      <c r="I7" s="316" t="n"/>
      <c r="K7" s="316" t="n"/>
      <c r="L7" s="316" t="n"/>
      <c r="M7" s="316" t="n"/>
      <c r="N7" s="316" t="n"/>
      <c r="O7" s="316" t="n"/>
      <c r="P7" s="316" t="n"/>
      <c r="Q7" s="316" t="n"/>
      <c r="R7" s="318" t="n"/>
    </row>
    <row r="8" ht="9" customHeight="1">
      <c r="A8" s="319" t="n"/>
      <c r="B8" s="316" t="n"/>
      <c r="C8" s="316" t="n"/>
      <c r="D8" s="316" t="n"/>
      <c r="E8" s="316" t="n"/>
      <c r="F8" s="316" t="n"/>
      <c r="G8" s="316" t="n"/>
      <c r="H8" s="316" t="n"/>
      <c r="I8" s="316" t="n"/>
      <c r="J8" s="316" t="n"/>
      <c r="K8" s="316" t="n"/>
      <c r="L8" s="316" t="n"/>
      <c r="M8" s="316" t="n"/>
      <c r="N8" s="316" t="n"/>
      <c r="O8" s="316" t="n"/>
      <c r="P8" s="316" t="n"/>
      <c r="Q8" s="316" t="n"/>
      <c r="R8" s="318" t="n"/>
    </row>
    <row r="9" ht="18" customHeight="1">
      <c r="A9" s="315" t="n"/>
      <c r="B9" s="316" t="n"/>
      <c r="C9" s="316" t="n"/>
      <c r="D9" s="316" t="n"/>
      <c r="E9" s="316" t="n"/>
      <c r="F9" s="316" t="n"/>
      <c r="G9" s="316" t="n"/>
      <c r="H9" s="316" t="n"/>
      <c r="I9" s="320" t="inlineStr">
        <is>
          <t>住　所</t>
        </is>
      </c>
      <c r="K9" s="392">
        <f>表紙!L8</f>
        <v/>
      </c>
    </row>
    <row r="10" ht="18" customHeight="1">
      <c r="A10" s="315" t="n"/>
      <c r="B10" s="316" t="n"/>
      <c r="C10" s="316" t="n"/>
      <c r="D10" s="316" t="n"/>
      <c r="E10" s="316" t="n"/>
      <c r="F10" s="316" t="n"/>
      <c r="G10" s="316" t="n"/>
      <c r="H10" s="316" t="n"/>
      <c r="I10" s="320" t="inlineStr">
        <is>
          <t>氏　名</t>
        </is>
      </c>
      <c r="K10" s="321">
        <f>表紙!L9</f>
        <v/>
      </c>
    </row>
    <row r="11" ht="9" customHeight="1">
      <c r="A11" s="322" t="n"/>
      <c r="B11" s="323" t="n"/>
      <c r="C11" s="323" t="n"/>
      <c r="D11" s="323" t="n"/>
      <c r="E11" s="323" t="n"/>
      <c r="F11" s="323" t="n"/>
      <c r="G11" s="323" t="n"/>
      <c r="H11" s="323" t="n"/>
      <c r="I11" s="323" t="n"/>
      <c r="J11" s="323" t="n"/>
      <c r="K11" s="323" t="n"/>
      <c r="L11" s="323" t="n"/>
      <c r="M11" s="323" t="n"/>
      <c r="N11" s="323" t="n"/>
      <c r="O11" s="323" t="n"/>
      <c r="P11" s="323" t="n"/>
      <c r="Q11" s="323" t="n"/>
      <c r="R11" s="324" t="n"/>
    </row>
    <row r="12" ht="18" customHeight="1">
      <c r="A12" s="353" t="inlineStr">
        <is>
          <t>用途</t>
        </is>
      </c>
      <c r="C12" s="325" t="inlineStr">
        <is>
          <t>（　５　）項　ロ・共同住宅</t>
        </is>
      </c>
    </row>
    <row r="13" ht="18" customHeight="1">
      <c r="A13" s="333" t="inlineStr">
        <is>
          <t>延べ面積</t>
        </is>
      </c>
      <c r="C13" s="327">
        <f>面積概要表!L8</f>
        <v/>
      </c>
      <c r="J13" s="328" t="inlineStr">
        <is>
          <t>階　数</t>
        </is>
      </c>
      <c r="L13" s="328">
        <f>面積概要表!AC6</f>
        <v/>
      </c>
    </row>
    <row r="14" ht="18" customHeight="1">
      <c r="A14" s="353" t="inlineStr">
        <is>
          <t>住戸数</t>
        </is>
      </c>
      <c r="C14" s="325">
        <f>"　全住戸数　"&amp;住戸部【その1】!X28&amp;" 戸"</f>
        <v/>
      </c>
    </row>
    <row r="15" ht="18" customHeight="1">
      <c r="A15" s="333" t="inlineStr">
        <is>
          <t>共同住宅用
受 信 機</t>
        </is>
      </c>
      <c r="D15" s="329" t="inlineStr">
        <is>
          <t xml:space="preserve"> 非蓄積式・蓄積式・自動試験機能付き・遠隔試験機能付き・その他（　　　）</t>
        </is>
      </c>
    </row>
    <row r="16" ht="18" customHeight="1">
      <c r="D16" s="328" t="inlineStr">
        <is>
          <t>定格電圧</t>
        </is>
      </c>
      <c r="F16" s="325" t="inlineStr">
        <is>
          <t>ＡＣ　100　Ｖ　・　ＤＣ　　　Ｖ</t>
        </is>
      </c>
    </row>
    <row r="17" ht="18" customHeight="1">
      <c r="D17" s="328" t="inlineStr">
        <is>
          <t>予備電源</t>
        </is>
      </c>
      <c r="F17" s="325" t="inlineStr">
        <is>
          <t>NiCd・その他（　　　）　　　 Ｖ　　　    ＡＨ</t>
        </is>
      </c>
    </row>
    <row r="18" ht="18" customHeight="1">
      <c r="A18" s="333" t="inlineStr">
        <is>
          <t>共用部分に設ける設備</t>
        </is>
      </c>
      <c r="E18" s="329" t="inlineStr">
        <is>
          <t xml:space="preserve"> 住戸用自動火災報知設備・共同住宅用非常警報設備・その他（　　　）</t>
        </is>
      </c>
    </row>
    <row r="19" ht="18" customHeight="1">
      <c r="A19" s="334" t="inlineStr">
        <is>
          <t>中　継　器</t>
        </is>
      </c>
      <c r="B19" s="335" t="inlineStr">
        <is>
          <t>アナログ式・蓄積式・自動試験機能付・遠隔試験機能付・他（　　）1/1回線</t>
        </is>
      </c>
      <c r="K19" s="335" t="inlineStr">
        <is>
          <t>予備電源 有 (　V　　AH)・無</t>
        </is>
      </c>
      <c r="P19" s="335">
        <f>"設置台数　"&amp;住戸部【その1】!X28&amp;" 台"</f>
        <v/>
      </c>
    </row>
    <row r="20" ht="18" customHeight="1">
      <c r="B20" s="335" t="inlineStr">
        <is>
          <t>アナログ式・蓄積式・自動試験機能付・遠隔試験機能付・他（　　）　回線</t>
        </is>
      </c>
      <c r="K20" s="335" t="inlineStr">
        <is>
          <t>予備電源 有 (　V　　AH)・無</t>
        </is>
      </c>
      <c r="P20" s="335" t="inlineStr">
        <is>
          <t>設置台数　　 台</t>
        </is>
      </c>
    </row>
    <row r="21" ht="18" customHeight="1">
      <c r="B21" s="335" t="inlineStr">
        <is>
          <t>アナログ式・蓄積式・自動試験機能付・遠隔試験機能付・他（　　）　回線</t>
        </is>
      </c>
      <c r="K21" s="335" t="inlineStr">
        <is>
          <t>予備電源 有 (　V　　AH)・無</t>
        </is>
      </c>
      <c r="P21" s="335" t="inlineStr">
        <is>
          <t>設置台数　　 台</t>
        </is>
      </c>
    </row>
    <row r="22" ht="18" customHeight="1">
      <c r="B22" s="335" t="inlineStr">
        <is>
          <t>アナログ式・蓄積式・自動試験機能付・遠隔試験機能付・他（　　）　回線</t>
        </is>
      </c>
      <c r="K22" s="335" t="inlineStr">
        <is>
          <t>予備電源 有 (　V　　AH)・無</t>
        </is>
      </c>
      <c r="P22" s="335" t="inlineStr">
        <is>
          <t>設置台数　　 台</t>
        </is>
      </c>
    </row>
    <row r="23" ht="18" customHeight="1">
      <c r="B23" s="335" t="inlineStr">
        <is>
          <t>アナログ式・蓄積式・自動試験機能付・遠隔試験機能付・他（　　）　回線</t>
        </is>
      </c>
      <c r="K23" s="335" t="inlineStr">
        <is>
          <t>予備電源 有 (　V　　AH)・無</t>
        </is>
      </c>
      <c r="P23" s="335" t="inlineStr">
        <is>
          <t>設置台数　　 台</t>
        </is>
      </c>
    </row>
    <row r="24" ht="18" customHeight="1">
      <c r="A24" s="334" t="inlineStr">
        <is>
          <t>感     知     器</t>
        </is>
      </c>
      <c r="B24" s="336" t="inlineStr">
        <is>
          <t>機種</t>
        </is>
      </c>
      <c r="L24" s="336" t="inlineStr">
        <is>
          <t>自</t>
        </is>
      </c>
      <c r="M24" s="336" t="inlineStr">
        <is>
          <t>遠</t>
        </is>
      </c>
      <c r="N24" s="336" t="inlineStr">
        <is>
          <t>種別</t>
        </is>
      </c>
      <c r="Q24" s="336" t="inlineStr">
        <is>
          <t>個数</t>
        </is>
      </c>
    </row>
    <row r="25" ht="18" customHeight="1">
      <c r="B25" s="328" t="inlineStr">
        <is>
          <t>【共用部】</t>
        </is>
      </c>
      <c r="L25" s="328" t="n"/>
      <c r="M25" s="328" t="n"/>
      <c r="N25" s="328" t="n"/>
      <c r="Q25" s="337" t="n"/>
    </row>
    <row r="26" ht="18" customHeight="1">
      <c r="B26" s="328">
        <f>共用部【その1】!B4&amp;"  "&amp;共用部【その1】!D4&amp;共用部【その1】!G4</f>
        <v/>
      </c>
      <c r="L26" s="328">
        <f>IF(共用部【その1】!J4="","",共用部【その1】!J4)</f>
        <v/>
      </c>
      <c r="M26" s="328">
        <f>IF(共用部【その1】!K4="","",共用部【その1】!K4)</f>
        <v/>
      </c>
      <c r="N26" s="328">
        <f>IF(共用部【その1】!L4="","",共用部【その1】!L4)</f>
        <v/>
      </c>
      <c r="Q26" s="337">
        <f>IF(共用部【その1】!M4="","",共用部【その1】!M4)</f>
        <v/>
      </c>
      <c r="T26" t="inlineStr">
        <is>
          <t>共用部</t>
        </is>
      </c>
    </row>
    <row r="27" ht="18" customHeight="1">
      <c r="B27" s="328">
        <f>共用部【その1】!B6&amp;"  "&amp;共用部【その1】!D6&amp;共用部【その1】!G6</f>
        <v/>
      </c>
      <c r="L27" s="328">
        <f>IF(共用部【その1】!J6="","",共用部【その1】!J6)</f>
        <v/>
      </c>
      <c r="M27" s="328">
        <f>IF(共用部【その1】!K6="","",共用部【その1】!K6)</f>
        <v/>
      </c>
      <c r="N27" s="328">
        <f>IF(共用部【その1】!L6="","",共用部【その1】!L6)</f>
        <v/>
      </c>
      <c r="Q27" s="337">
        <f>IF(共用部【その1】!M6="","",共用部【その1】!M6)</f>
        <v/>
      </c>
    </row>
    <row r="28" ht="18" customHeight="1">
      <c r="B28" s="328">
        <f>共用部【その1】!B8&amp;"  "&amp;共用部【その1】!D8&amp;共用部【その1】!G8</f>
        <v/>
      </c>
      <c r="L28" s="328">
        <f>IF(共用部【その1】!J8="","",共用部【その1】!J8)</f>
        <v/>
      </c>
      <c r="M28" s="328">
        <f>IF(共用部【その1】!K8="","",共用部【その1】!K8)</f>
        <v/>
      </c>
      <c r="N28" s="328">
        <f>IF(共用部【その1】!L8="","",共用部【その1】!L8)</f>
        <v/>
      </c>
      <c r="Q28" s="337">
        <f>IF(共用部【その1】!M8="","",共用部【その1】!M8)</f>
        <v/>
      </c>
    </row>
    <row r="29" ht="18" customHeight="1">
      <c r="B29" s="328">
        <f>共用部【その1】!B10&amp;"  "&amp;共用部【その1】!D10&amp;共用部【その1】!G10</f>
        <v/>
      </c>
      <c r="L29" s="328">
        <f>IF(共用部【その1】!J10="","",共用部【その1】!J10)</f>
        <v/>
      </c>
      <c r="M29" s="328">
        <f>IF(共用部【その1】!K10="","",共用部【その1】!K10)</f>
        <v/>
      </c>
      <c r="N29" s="328">
        <f>IF(共用部【その1】!L10="","",共用部【その1】!L10)</f>
        <v/>
      </c>
      <c r="Q29" s="337">
        <f>IF(共用部【その1】!M10="","",共用部【その1】!M10)</f>
        <v/>
      </c>
    </row>
    <row r="30" ht="18" customHeight="1">
      <c r="B30" s="328">
        <f>共用部【その1】!B12&amp;"  "&amp;共用部【その1】!D12&amp;共用部【その1】!G12</f>
        <v/>
      </c>
      <c r="L30" s="328">
        <f>IF(共用部【その1】!J12="","",共用部【その1】!J12)</f>
        <v/>
      </c>
      <c r="M30" s="328">
        <f>IF(共用部【その1】!K12="","",共用部【その1】!K12)</f>
        <v/>
      </c>
      <c r="N30" s="328">
        <f>IF(共用部【その1】!L12="","",共用部【その1】!L12)</f>
        <v/>
      </c>
      <c r="Q30" s="337">
        <f>IF(共用部【その1】!M12="","",共用部【その1】!M12)</f>
        <v/>
      </c>
    </row>
    <row r="31" ht="18" customHeight="1">
      <c r="B31" s="328">
        <f>共用部【その1】!B14&amp;"  "&amp;共用部【その1】!D14&amp;共用部【その1】!G14</f>
        <v/>
      </c>
      <c r="L31" s="336" t="n"/>
      <c r="M31" s="336" t="n"/>
      <c r="N31" s="328">
        <f>IF(共用部【その1】!L14="","",共用部【その1】!L14)</f>
        <v/>
      </c>
      <c r="Q31" s="337">
        <f>IF(共用部【その1】!M14="","",共用部【その1】!M14)</f>
        <v/>
      </c>
    </row>
    <row r="32" ht="18" customHeight="1">
      <c r="B32" s="308" t="inlineStr">
        <is>
          <t>【専有部】</t>
        </is>
      </c>
      <c r="L32" s="328">
        <f>IF(住戸部【その1】!J4="","",住戸部【その1】!J4)</f>
        <v/>
      </c>
      <c r="M32" s="336" t="n"/>
      <c r="N32" s="393" t="n"/>
      <c r="Q32" s="337" t="n"/>
    </row>
    <row r="33" ht="18" customHeight="1">
      <c r="B33" s="328">
        <f>住戸部【その1】!B4&amp;" "&amp;住戸部【その1】!D4&amp;住戸部【その1】!G4</f>
        <v/>
      </c>
      <c r="L33" s="328">
        <f>IF(住戸部【その1】!J6="","",住戸部【その1】!J6)</f>
        <v/>
      </c>
      <c r="M33" s="328">
        <f>IF(住戸部【その1】!K4="","",住戸部【その1】!K4)</f>
        <v/>
      </c>
      <c r="N33" s="328">
        <f>IF(住戸部【その1】!L4="","",住戸部【その1】!L4)</f>
        <v/>
      </c>
      <c r="Q33" s="340">
        <f>IF(住戸部【その1】!M4="","",住戸部【その1】!M4)</f>
        <v/>
      </c>
    </row>
    <row r="34" ht="18" customHeight="1">
      <c r="B34" s="328">
        <f>住戸部【その1】!B6&amp;" "&amp;住戸部【その1】!D6&amp;住戸部【その1】!G6</f>
        <v/>
      </c>
      <c r="L34" s="328">
        <f>IF(住戸部【その1】!J8="","",住戸部【その1】!J8)</f>
        <v/>
      </c>
      <c r="M34" s="328">
        <f>IF(住戸部【その1】!K6="","",住戸部【その1】!K6)</f>
        <v/>
      </c>
      <c r="N34" s="328">
        <f>IF(住戸部【その1】!L6="","",住戸部【その1】!L6)</f>
        <v/>
      </c>
      <c r="Q34" s="340">
        <f>IF(住戸部【その1】!M6="","",住戸部【その1】!M6)</f>
        <v/>
      </c>
    </row>
    <row r="35" ht="18" customHeight="1">
      <c r="B35" s="328">
        <f>住戸部【その1】!B10&amp;" "&amp;住戸部【その1】!D10&amp;住戸部【その1】!G10</f>
        <v/>
      </c>
      <c r="L35" s="328">
        <f>IF(住戸部【その1】!J10="","",住戸部【その1】!J10)</f>
        <v/>
      </c>
      <c r="M35" s="328">
        <f>IF(住戸部【その1】!K10="","",住戸部【その1】!K10)</f>
        <v/>
      </c>
      <c r="N35" s="328">
        <f>IF(住戸部【その1】!L10="","",住戸部【その1】!L10)</f>
        <v/>
      </c>
      <c r="Q35" s="340">
        <f>IF(住戸部【その1】!M10="","",住戸部【その1】!M10)</f>
        <v/>
      </c>
    </row>
    <row r="36" ht="18" customHeight="1">
      <c r="B36" s="328">
        <f>住戸部【その1】!B12&amp;" "&amp;住戸部【その1】!D12&amp;住戸部【その1】!G12</f>
        <v/>
      </c>
      <c r="L36" s="328">
        <f>IF(住戸部【その1】!J12="","",住戸部【その1】!J12)</f>
        <v/>
      </c>
      <c r="M36" s="328">
        <f>IF(住戸部【その1】!K12="","",住戸部【その1】!K12)</f>
        <v/>
      </c>
      <c r="N36" s="328">
        <f>IF(住戸部【その1】!L12="","",住戸部【その1】!L12)</f>
        <v/>
      </c>
      <c r="Q36" s="340">
        <f>IF(住戸部【その1】!M12="","",住戸部【その1】!M12)</f>
        <v/>
      </c>
    </row>
    <row r="37" ht="18" customHeight="1">
      <c r="B37" s="394" t="n"/>
      <c r="L37" s="394" t="n"/>
      <c r="M37" s="394" t="n"/>
      <c r="N37" s="394" t="n"/>
      <c r="Q37" s="395" t="n"/>
    </row>
    <row r="38" ht="18" customHeight="1">
      <c r="A38" s="328" t="inlineStr">
        <is>
          <t>起動装置</t>
        </is>
      </c>
      <c r="D38" s="328" t="inlineStr">
        <is>
          <t>屋内型</t>
        </is>
      </c>
      <c r="G38" s="343" t="inlineStr">
        <is>
          <t>--個</t>
        </is>
      </c>
      <c r="M38" s="328" t="inlineStr">
        <is>
          <t>屋外型</t>
        </is>
      </c>
      <c r="O38" s="344">
        <f>共用部【その1】!T25</f>
        <v/>
      </c>
      <c r="T38" t="inlineStr">
        <is>
          <t>発信機</t>
        </is>
      </c>
    </row>
    <row r="39" ht="18" customHeight="1">
      <c r="A39" s="342" t="inlineStr">
        <is>
          <t>音声警報装置等</t>
        </is>
      </c>
      <c r="D39" s="325" t="inlineStr">
        <is>
          <t>音声警報装置</t>
        </is>
      </c>
      <c r="G39" s="328" t="inlineStr">
        <is>
          <t>Ｌ級</t>
        </is>
      </c>
      <c r="I39" s="343">
        <f>W39&amp;"個"</f>
        <v/>
      </c>
      <c r="K39" s="328" t="inlineStr">
        <is>
          <t>Ｍ級</t>
        </is>
      </c>
      <c r="M39" s="343" t="inlineStr">
        <is>
          <t>--個</t>
        </is>
      </c>
      <c r="O39" s="328" t="inlineStr">
        <is>
          <t>Ｓ級</t>
        </is>
      </c>
      <c r="Q39" s="343" t="inlineStr">
        <is>
          <t>--個</t>
        </is>
      </c>
      <c r="T39" t="inlineStr">
        <is>
          <t>スピーカー数量</t>
        </is>
      </c>
      <c r="W39" s="396" t="inlineStr">
        <is>
          <t>--</t>
        </is>
      </c>
      <c r="X39" t="inlineStr">
        <is>
          <t>個</t>
        </is>
      </c>
    </row>
    <row r="40" ht="18" customHeight="1">
      <c r="D40" s="351" t="inlineStr">
        <is>
          <t>ベル（サイレン)</t>
        </is>
      </c>
      <c r="G40" s="328">
        <f>"電圧　DC"&amp;'共用部【その2】 '!Q18&amp;"V"</f>
        <v/>
      </c>
      <c r="K40" s="328">
        <f>"電流　"&amp;'共用部【その2】 '!S18&amp;"mA"</f>
        <v/>
      </c>
      <c r="O40" s="328" t="inlineStr">
        <is>
          <t>個数</t>
        </is>
      </c>
      <c r="Q40" s="344">
        <f>'共用部【その2】 '!U18</f>
        <v/>
      </c>
    </row>
    <row r="41" ht="18" customHeight="1">
      <c r="D41" s="325" t="inlineStr">
        <is>
          <t>戸外表示器</t>
        </is>
      </c>
      <c r="G41" s="328" t="inlineStr">
        <is>
          <t>―――――――</t>
        </is>
      </c>
      <c r="O41" s="328" t="inlineStr">
        <is>
          <t>個数</t>
        </is>
      </c>
      <c r="Q41" s="344">
        <f>住戸部【その1】!X28</f>
        <v/>
      </c>
    </row>
    <row r="42" ht="18" customHeight="1">
      <c r="D42" s="345" t="inlineStr">
        <is>
          <t>放送設備との連動等</t>
        </is>
      </c>
      <c r="G42" s="325" t="inlineStr">
        <is>
          <t>有　・　無　　　　（音声切替装置　　　有　・　無）</t>
        </is>
      </c>
    </row>
    <row r="43" ht="18" customHeight="1">
      <c r="A43" s="310" t="inlineStr">
        <is>
          <t>住戸用自動火災報知設備・共同住宅用非常警報設備</t>
        </is>
      </c>
      <c r="R43" s="397" t="inlineStr">
        <is>
          <t>②</t>
        </is>
      </c>
    </row>
    <row r="44" ht="18" customHeight="1">
      <c r="A44" s="328" t="inlineStr">
        <is>
          <t xml:space="preserve">　　　試　　　　　験　　　　　項　　　　　目</t>
        </is>
      </c>
      <c r="L44" s="351" t="inlineStr">
        <is>
          <t xml:space="preserve">　　種別・容量等の内容</t>
        </is>
      </c>
      <c r="Q44" s="328" t="inlineStr">
        <is>
          <t>結果</t>
        </is>
      </c>
    </row>
    <row r="45" ht="18" customHeight="1">
      <c r="A45" s="398" t="inlineStr">
        <is>
          <t>外観試験</t>
        </is>
      </c>
      <c r="B45" s="398" t="inlineStr">
        <is>
          <t>住戸用自動火災報知設備</t>
        </is>
      </c>
      <c r="C45" s="355" t="inlineStr">
        <is>
          <t>警戒区域</t>
        </is>
      </c>
      <c r="F45" s="355" t="inlineStr">
        <is>
          <t>警戒区域の設定</t>
        </is>
      </c>
      <c r="L45" s="351" t="inlineStr">
        <is>
          <t>―――――――</t>
        </is>
      </c>
      <c r="Q45" s="328" t="inlineStr">
        <is>
          <t>〇</t>
        </is>
      </c>
      <c r="AG45" s="399" t="inlineStr">
        <is>
          <t>〇</t>
        </is>
      </c>
      <c r="AH45" s="400" t="inlineStr">
        <is>
          <t>戸外表示機組込</t>
        </is>
      </c>
    </row>
    <row r="46" ht="18" customHeight="1">
      <c r="C46" s="355" t="inlineStr">
        <is>
          <t>＊住戸用受信機</t>
        </is>
      </c>
      <c r="F46" s="355" t="inlineStr">
        <is>
          <t>設置場所等</t>
        </is>
      </c>
      <c r="I46" s="355" t="inlineStr">
        <is>
          <t>設置場所</t>
        </is>
      </c>
      <c r="L46" s="351">
        <f>住戸部【その2】!Y5</f>
        <v/>
      </c>
      <c r="Q46" s="328" t="inlineStr">
        <is>
          <t>〇</t>
        </is>
      </c>
      <c r="T46" t="inlineStr">
        <is>
          <t>インターホン</t>
        </is>
      </c>
      <c r="AG46" s="401" t="inlineStr">
        <is>
          <t>／</t>
        </is>
      </c>
      <c r="AH46" s="402" t="inlineStr">
        <is>
          <t>各住戸パイプシャフト</t>
        </is>
      </c>
    </row>
    <row r="47" ht="18" customHeight="1">
      <c r="I47" s="351" t="inlineStr">
        <is>
          <t>周囲の状況・操作性</t>
        </is>
      </c>
      <c r="L47" s="351" t="inlineStr">
        <is>
          <t>―――――――</t>
        </is>
      </c>
      <c r="Q47" s="328" t="inlineStr">
        <is>
          <t>〇</t>
        </is>
      </c>
      <c r="AG47" s="403" t="n"/>
      <c r="AH47" s="402" t="inlineStr">
        <is>
          <t>―――――――</t>
        </is>
      </c>
    </row>
    <row r="48" ht="18" customHeight="1">
      <c r="I48" s="355" t="inlineStr">
        <is>
          <t>設置状況</t>
        </is>
      </c>
      <c r="L48" s="351" t="inlineStr">
        <is>
          <t>―――――――</t>
        </is>
      </c>
      <c r="Q48" s="328" t="inlineStr">
        <is>
          <t>〇</t>
        </is>
      </c>
      <c r="AH48" s="404" t="n"/>
    </row>
    <row r="49" ht="18" customHeight="1">
      <c r="F49" s="355" t="inlineStr">
        <is>
          <t>構造・性能</t>
        </is>
      </c>
      <c r="L49" s="351" t="inlineStr">
        <is>
          <t>―――――――</t>
        </is>
      </c>
      <c r="Q49" s="328" t="inlineStr">
        <is>
          <t>〇</t>
        </is>
      </c>
    </row>
    <row r="50" ht="18" customHeight="1">
      <c r="F50" s="355" t="inlineStr">
        <is>
          <t>操作部</t>
        </is>
      </c>
      <c r="L50" s="351" t="inlineStr">
        <is>
          <t>床面からの高さ　  　1.3 ｍ</t>
        </is>
      </c>
      <c r="Q50" s="328" t="inlineStr">
        <is>
          <t>〇</t>
        </is>
      </c>
    </row>
    <row r="51" ht="18" customHeight="1">
      <c r="F51" s="355" t="inlineStr">
        <is>
          <t>予備品等</t>
        </is>
      </c>
      <c r="L51" s="351" t="inlineStr">
        <is>
          <t>―――――――</t>
        </is>
      </c>
      <c r="Q51" s="328" t="inlineStr">
        <is>
          <t>／</t>
        </is>
      </c>
    </row>
    <row r="52" ht="18" customHeight="1">
      <c r="C52" s="355" t="inlineStr">
        <is>
          <t>中継器</t>
        </is>
      </c>
      <c r="F52" s="355" t="inlineStr">
        <is>
          <t>設置場所等</t>
        </is>
      </c>
      <c r="L52" s="351">
        <f>X52</f>
        <v/>
      </c>
      <c r="Q52" s="328" t="inlineStr">
        <is>
          <t>〇</t>
        </is>
      </c>
      <c r="V52" t="inlineStr">
        <is>
          <t>設置場所</t>
        </is>
      </c>
      <c r="X52" s="244" t="inlineStr">
        <is>
          <t>各住戸パイプシャフト</t>
        </is>
      </c>
    </row>
    <row r="53" ht="18" customHeight="1">
      <c r="F53" s="355" t="inlineStr">
        <is>
          <t>構造・性能</t>
        </is>
      </c>
      <c r="L53" s="351" t="inlineStr">
        <is>
          <t>―――――――</t>
        </is>
      </c>
      <c r="Q53" s="328" t="inlineStr">
        <is>
          <t>〇</t>
        </is>
      </c>
    </row>
    <row r="54" ht="18" customHeight="1">
      <c r="F54" s="355" t="inlineStr">
        <is>
          <t>予備品等</t>
        </is>
      </c>
      <c r="L54" s="351" t="inlineStr">
        <is>
          <t>―――――――</t>
        </is>
      </c>
      <c r="Q54" s="328" t="inlineStr">
        <is>
          <t>／</t>
        </is>
      </c>
    </row>
    <row r="55" ht="18" customHeight="1">
      <c r="C55" s="355" t="inlineStr">
        <is>
          <t>電源</t>
        </is>
      </c>
      <c r="F55" s="355" t="inlineStr">
        <is>
          <t>常用電源</t>
        </is>
      </c>
      <c r="L55" s="351" t="inlineStr">
        <is>
          <t>ＡＣ　  １００   Ｖ</t>
        </is>
      </c>
      <c r="Q55" s="328" t="inlineStr">
        <is>
          <t>〇</t>
        </is>
      </c>
    </row>
    <row r="56" ht="18" customHeight="1">
      <c r="F56" s="355" t="inlineStr">
        <is>
          <t>予備電源</t>
        </is>
      </c>
      <c r="L56" s="351" t="inlineStr">
        <is>
          <t>―――――――</t>
        </is>
      </c>
      <c r="Q56" s="328" t="inlineStr">
        <is>
          <t>／</t>
        </is>
      </c>
    </row>
    <row r="57" ht="18" customHeight="1">
      <c r="C57" s="405" t="inlineStr">
        <is>
          <t>＊感知器</t>
        </is>
      </c>
      <c r="D57" s="406" t="inlineStr">
        <is>
          <t>警戒状況・設置状況</t>
        </is>
      </c>
      <c r="E57" s="407" t="inlineStr">
        <is>
          <t xml:space="preserve">・構造・性能　　</t>
        </is>
      </c>
      <c r="F57" s="355" t="inlineStr">
        <is>
          <t>差動式スポット型</t>
        </is>
      </c>
      <c r="L57" s="351" t="inlineStr">
        <is>
          <t>―――――――</t>
        </is>
      </c>
      <c r="Q57" s="328" t="inlineStr">
        <is>
          <t>〇</t>
        </is>
      </c>
    </row>
    <row r="58" ht="18" customHeight="1">
      <c r="F58" s="355" t="inlineStr">
        <is>
          <t>定温式スポット型</t>
        </is>
      </c>
      <c r="L58" s="351" t="inlineStr">
        <is>
          <t>―――――――</t>
        </is>
      </c>
      <c r="Q58" s="328" t="inlineStr">
        <is>
          <t>〇</t>
        </is>
      </c>
    </row>
    <row r="59" ht="18" customHeight="1">
      <c r="F59" s="355" t="inlineStr">
        <is>
          <t>補償式スポット型</t>
        </is>
      </c>
      <c r="L59" s="351" t="inlineStr">
        <is>
          <t>―――――――</t>
        </is>
      </c>
      <c r="Q59" s="328" t="inlineStr">
        <is>
          <t>／</t>
        </is>
      </c>
    </row>
    <row r="60" ht="18" customHeight="1">
      <c r="F60" s="355" t="inlineStr">
        <is>
          <t>光電式スポット型</t>
        </is>
      </c>
      <c r="L60" s="351" t="inlineStr">
        <is>
          <t>―――――――</t>
        </is>
      </c>
      <c r="Q60" s="328" t="inlineStr">
        <is>
          <t>〇</t>
        </is>
      </c>
    </row>
    <row r="61" ht="18" customHeight="1">
      <c r="F61" s="355" t="inlineStr">
        <is>
          <t>イオン化式スポット型</t>
        </is>
      </c>
      <c r="L61" s="351" t="inlineStr">
        <is>
          <t>―――――――</t>
        </is>
      </c>
      <c r="Q61" s="328" t="inlineStr">
        <is>
          <t>／</t>
        </is>
      </c>
    </row>
    <row r="62" ht="18" customHeight="1">
      <c r="F62" s="355" t="inlineStr">
        <is>
          <t>炎感知器</t>
        </is>
      </c>
      <c r="L62" s="351" t="inlineStr">
        <is>
          <t>―――――――</t>
        </is>
      </c>
      <c r="Q62" s="328" t="inlineStr">
        <is>
          <t>／</t>
        </is>
      </c>
    </row>
    <row r="63" ht="18" customHeight="1">
      <c r="C63" s="355" t="inlineStr">
        <is>
          <t>＊音声警報装置</t>
        </is>
      </c>
      <c r="F63" s="355" t="inlineStr">
        <is>
          <t>設置場所等</t>
        </is>
      </c>
      <c r="L63" s="351" t="inlineStr">
        <is>
          <t>―――――――</t>
        </is>
      </c>
      <c r="Q63" s="328" t="inlineStr">
        <is>
          <t>／</t>
        </is>
      </c>
    </row>
    <row r="64" ht="18" customHeight="1">
      <c r="F64" s="355" t="inlineStr">
        <is>
          <t>構造・性能</t>
        </is>
      </c>
      <c r="L64" s="351" t="inlineStr">
        <is>
          <t>―――――――</t>
        </is>
      </c>
      <c r="Q64" s="328" t="inlineStr">
        <is>
          <t>／</t>
        </is>
      </c>
    </row>
    <row r="65" ht="18" customHeight="1">
      <c r="C65" s="355" t="inlineStr">
        <is>
          <t>＊音響装置</t>
        </is>
      </c>
      <c r="F65" s="355" t="inlineStr">
        <is>
          <t>設置場所等</t>
        </is>
      </c>
      <c r="L65" s="351" t="inlineStr">
        <is>
          <t>―――――――</t>
        </is>
      </c>
      <c r="Q65" s="328" t="inlineStr">
        <is>
          <t>〇</t>
        </is>
      </c>
    </row>
    <row r="66" ht="18" customHeight="1">
      <c r="F66" s="355" t="inlineStr">
        <is>
          <t>構造・性能</t>
        </is>
      </c>
      <c r="L66" s="351" t="inlineStr">
        <is>
          <t>―――――――</t>
        </is>
      </c>
      <c r="Q66" s="328" t="inlineStr">
        <is>
          <t>〇</t>
        </is>
      </c>
    </row>
    <row r="67" ht="18" customHeight="1">
      <c r="C67" s="355" t="inlineStr">
        <is>
          <t>＊戸外表示器</t>
        </is>
      </c>
      <c r="F67" s="355" t="inlineStr">
        <is>
          <t>設置場所等</t>
        </is>
      </c>
      <c r="L67" s="351" t="inlineStr">
        <is>
          <t>―――――――</t>
        </is>
      </c>
      <c r="Q67" s="328" t="inlineStr">
        <is>
          <t>〇</t>
        </is>
      </c>
    </row>
    <row r="68" ht="18" customHeight="1">
      <c r="F68" s="355" t="inlineStr">
        <is>
          <t>構造・性能</t>
        </is>
      </c>
      <c r="L68" s="351" t="inlineStr">
        <is>
          <t>―――――――</t>
        </is>
      </c>
      <c r="Q68" s="328" t="inlineStr">
        <is>
          <t>〇</t>
        </is>
      </c>
      <c r="X68" t="inlineStr">
        <is>
          <t>１階エントランスホール</t>
        </is>
      </c>
    </row>
    <row r="69" ht="18" customHeight="1">
      <c r="B69" s="398" t="inlineStr">
        <is>
          <t>共同住宅用非常警報設備</t>
        </is>
      </c>
      <c r="C69" s="355" t="inlineStr">
        <is>
          <t>操作部</t>
        </is>
      </c>
      <c r="F69" s="355" t="inlineStr">
        <is>
          <t>設置場所</t>
        </is>
      </c>
      <c r="L69" s="351">
        <f>X69</f>
        <v/>
      </c>
      <c r="Q69" s="328" t="inlineStr">
        <is>
          <t>〇</t>
        </is>
      </c>
      <c r="U69" s="2" t="n"/>
      <c r="V69" t="inlineStr">
        <is>
          <t>設置場所</t>
        </is>
      </c>
      <c r="X69" s="244" t="inlineStr">
        <is>
          <t>１階エントランスホール</t>
        </is>
      </c>
    </row>
    <row r="70" ht="18" customHeight="1">
      <c r="F70" s="355" t="inlineStr">
        <is>
          <t>周囲の状況・操作性</t>
        </is>
      </c>
      <c r="L70" s="351" t="inlineStr">
        <is>
          <t>―――――――</t>
        </is>
      </c>
      <c r="Q70" s="328" t="inlineStr">
        <is>
          <t>〇</t>
        </is>
      </c>
      <c r="U70" s="2" t="n"/>
      <c r="X70" t="inlineStr">
        <is>
          <t>―――――――</t>
        </is>
      </c>
    </row>
    <row r="71" ht="18" customHeight="1">
      <c r="F71" s="355" t="inlineStr">
        <is>
          <t>設置状況</t>
        </is>
      </c>
      <c r="L71" s="351" t="inlineStr">
        <is>
          <t>―――――――</t>
        </is>
      </c>
      <c r="Q71" s="328" t="inlineStr">
        <is>
          <t>〇</t>
        </is>
      </c>
      <c r="U71" s="2" t="n"/>
    </row>
    <row r="72" ht="18" customHeight="1">
      <c r="F72" s="355" t="inlineStr">
        <is>
          <t>構造・性能</t>
        </is>
      </c>
      <c r="L72" s="351" t="inlineStr">
        <is>
          <t>―――――――</t>
        </is>
      </c>
      <c r="Q72" s="328" t="inlineStr">
        <is>
          <t>〇</t>
        </is>
      </c>
      <c r="U72" s="2" t="n"/>
    </row>
    <row r="73" ht="18" customHeight="1">
      <c r="F73" s="355" t="inlineStr">
        <is>
          <t>操作部</t>
        </is>
      </c>
      <c r="L73" s="351" t="inlineStr">
        <is>
          <t>床面からの高さ　  　1.2　ｍ</t>
        </is>
      </c>
      <c r="Q73" s="328" t="inlineStr">
        <is>
          <t>〇</t>
        </is>
      </c>
      <c r="U73" s="2" t="n"/>
      <c r="V73" t="inlineStr">
        <is>
          <t>受信機交換しない場合は【／】</t>
        </is>
      </c>
    </row>
    <row r="74" ht="18" customHeight="1">
      <c r="F74" s="355" t="inlineStr">
        <is>
          <t>予備品等</t>
        </is>
      </c>
      <c r="L74" s="351" t="inlineStr">
        <is>
          <t>―――――――</t>
        </is>
      </c>
      <c r="Q74" s="328" t="inlineStr">
        <is>
          <t>〇</t>
        </is>
      </c>
      <c r="U74" s="2" t="n"/>
    </row>
    <row r="75" ht="18" customHeight="1">
      <c r="C75" s="355" t="inlineStr">
        <is>
          <t>電源</t>
        </is>
      </c>
      <c r="F75" s="355" t="inlineStr">
        <is>
          <t>常用電源</t>
        </is>
      </c>
      <c r="L75" s="351" t="inlineStr">
        <is>
          <t>ＡＣ 　１００ Ｖ</t>
        </is>
      </c>
      <c r="Q75" s="328" t="inlineStr">
        <is>
          <t>〇</t>
        </is>
      </c>
      <c r="U75" s="2" t="n"/>
    </row>
    <row r="76" ht="18" customHeight="1">
      <c r="F76" s="355" t="inlineStr">
        <is>
          <t>非常電源の種別</t>
        </is>
      </c>
      <c r="L76" s="351" t="inlineStr">
        <is>
          <t>非常電源専用受電設備・蓄電池設備</t>
        </is>
      </c>
      <c r="Q76" s="328" t="inlineStr">
        <is>
          <t>／</t>
        </is>
      </c>
      <c r="U76" s="2" t="n"/>
    </row>
    <row r="77" ht="18" customHeight="1">
      <c r="C77" s="355" t="inlineStr">
        <is>
          <t>起動装置</t>
        </is>
      </c>
      <c r="F77" s="355" t="inlineStr">
        <is>
          <t>設置場所等</t>
        </is>
      </c>
      <c r="L77" s="351" t="inlineStr">
        <is>
          <t>―――――――</t>
        </is>
      </c>
      <c r="Q77" s="328" t="inlineStr">
        <is>
          <t>〇</t>
        </is>
      </c>
      <c r="U77" s="2" t="n"/>
    </row>
    <row r="78" ht="18" customHeight="1">
      <c r="F78" s="355" t="inlineStr">
        <is>
          <t>構造・性能</t>
        </is>
      </c>
      <c r="L78" s="351" t="inlineStr">
        <is>
          <t>―――――――</t>
        </is>
      </c>
      <c r="Q78" s="328" t="inlineStr">
        <is>
          <t>〇</t>
        </is>
      </c>
      <c r="U78" s="2" t="n"/>
    </row>
    <row r="79" ht="18" customHeight="1">
      <c r="C79" s="355" t="inlineStr">
        <is>
          <t>表示灯</t>
        </is>
      </c>
      <c r="F79" s="355" t="inlineStr">
        <is>
          <t>設置場所等</t>
        </is>
      </c>
      <c r="L79" s="351" t="inlineStr">
        <is>
          <t>―――――――</t>
        </is>
      </c>
      <c r="Q79" s="328" t="inlineStr">
        <is>
          <t>〇</t>
        </is>
      </c>
      <c r="U79" s="2" t="n"/>
    </row>
    <row r="80" ht="18" customHeight="1">
      <c r="F80" s="355" t="inlineStr">
        <is>
          <t>構造・性能</t>
        </is>
      </c>
      <c r="L80" s="351" t="inlineStr">
        <is>
          <t>―――――――</t>
        </is>
      </c>
      <c r="Q80" s="328" t="inlineStr">
        <is>
          <t>〇</t>
        </is>
      </c>
      <c r="U80" s="2" t="n"/>
    </row>
    <row r="81" ht="18" customHeight="1">
      <c r="C81" s="355" t="inlineStr">
        <is>
          <t>音響装置</t>
        </is>
      </c>
      <c r="F81" s="355" t="inlineStr">
        <is>
          <t>設置場所等</t>
        </is>
      </c>
      <c r="L81" s="351" t="inlineStr">
        <is>
          <t>―――――――</t>
        </is>
      </c>
      <c r="Q81" s="328" t="inlineStr">
        <is>
          <t>〇</t>
        </is>
      </c>
      <c r="U81" s="2" t="n"/>
    </row>
    <row r="82" ht="18" customHeight="1">
      <c r="F82" s="355" t="inlineStr">
        <is>
          <t>構造</t>
        </is>
      </c>
      <c r="L82" s="351" t="inlineStr">
        <is>
          <t>―――――――</t>
        </is>
      </c>
      <c r="Q82" s="328" t="inlineStr">
        <is>
          <t>〇</t>
        </is>
      </c>
      <c r="U82" s="2" t="n"/>
    </row>
    <row r="83" ht="18" customHeight="1">
      <c r="A83" s="310" t="inlineStr">
        <is>
          <t>住戸用自動火災報知設備・共同住宅用非常警報設備</t>
        </is>
      </c>
      <c r="R83" s="397" t="inlineStr">
        <is>
          <t>③</t>
        </is>
      </c>
    </row>
    <row r="84" ht="18" customHeight="1">
      <c r="A84" s="328" t="inlineStr">
        <is>
          <t xml:space="preserve">　　　試　　　　　験　　　　　項　　　　　目</t>
        </is>
      </c>
      <c r="L84" s="351" t="inlineStr">
        <is>
          <t xml:space="preserve">　　種別・容量等の内容</t>
        </is>
      </c>
      <c r="Q84" s="328" t="inlineStr">
        <is>
          <t>結果</t>
        </is>
      </c>
    </row>
    <row r="85" ht="18" customHeight="1">
      <c r="A85" s="352" t="inlineStr">
        <is>
          <t>機能試験</t>
        </is>
      </c>
      <c r="B85" s="352" t="inlineStr">
        <is>
          <t>住戸用自動火災報知設備</t>
        </is>
      </c>
      <c r="C85" s="353" t="inlineStr">
        <is>
          <t>配線</t>
        </is>
      </c>
      <c r="F85" s="328" t="inlineStr">
        <is>
          <t>送り配線試験</t>
        </is>
      </c>
      <c r="I85" s="328" t="inlineStr">
        <is>
          <t>住戸用受信機</t>
        </is>
      </c>
      <c r="L85" s="351" t="inlineStr">
        <is>
          <t>―――――――</t>
        </is>
      </c>
      <c r="Q85" s="333" t="inlineStr">
        <is>
          <t>〇</t>
        </is>
      </c>
    </row>
    <row r="86" ht="18" customHeight="1">
      <c r="C86" s="328" t="inlineStr">
        <is>
          <t>＊住戸用受信機</t>
        </is>
      </c>
      <c r="F86" s="328" t="inlineStr">
        <is>
          <t>火災警報等試験</t>
        </is>
      </c>
      <c r="I86" s="328" t="inlineStr">
        <is>
          <t>火災警報</t>
        </is>
      </c>
      <c r="L86" s="351" t="inlineStr">
        <is>
          <t>―――――――</t>
        </is>
      </c>
      <c r="Q86" s="328" t="inlineStr">
        <is>
          <t>○</t>
        </is>
      </c>
    </row>
    <row r="87" ht="18" customHeight="1">
      <c r="I87" s="328" t="inlineStr">
        <is>
          <t>蓄積式の機能</t>
        </is>
      </c>
      <c r="L87" s="351" t="inlineStr">
        <is>
          <t>―――――――</t>
        </is>
      </c>
      <c r="Q87" s="333" t="inlineStr">
        <is>
          <t>／</t>
        </is>
      </c>
    </row>
    <row r="88" ht="18" customHeight="1">
      <c r="F88" s="328" t="inlineStr">
        <is>
          <t>感知器作動試験</t>
        </is>
      </c>
      <c r="I88" s="355" t="inlineStr">
        <is>
          <t>自動試験機能を
有するもの</t>
        </is>
      </c>
      <c r="L88" s="351" t="inlineStr">
        <is>
          <t>―――――――</t>
        </is>
      </c>
      <c r="Q88" s="333" t="inlineStr">
        <is>
          <t>／</t>
        </is>
      </c>
    </row>
    <row r="89" ht="18" customHeight="1"/>
    <row r="90" ht="18" customHeight="1">
      <c r="I90" s="355" t="inlineStr">
        <is>
          <t>遠隔試験機能を
有するもの</t>
        </is>
      </c>
      <c r="L90" s="351" t="inlineStr">
        <is>
          <t>―――――――</t>
        </is>
      </c>
      <c r="Q90" s="328" t="inlineStr">
        <is>
          <t>○</t>
        </is>
      </c>
    </row>
    <row r="91" ht="18" customHeight="1"/>
    <row r="92" ht="18" customHeight="1">
      <c r="C92" s="353" t="inlineStr">
        <is>
          <t>中継器</t>
        </is>
      </c>
      <c r="F92" s="353" t="inlineStr">
        <is>
          <t>回路導通試験</t>
        </is>
      </c>
      <c r="L92" s="351" t="inlineStr">
        <is>
          <t>―――――――</t>
        </is>
      </c>
      <c r="Q92" s="333" t="inlineStr">
        <is>
          <t>／</t>
        </is>
      </c>
    </row>
    <row r="93" ht="18" customHeight="1">
      <c r="F93" s="353" t="inlineStr">
        <is>
          <t>遠隔試験機能</t>
        </is>
      </c>
      <c r="L93" s="351" t="inlineStr">
        <is>
          <t>―――――――</t>
        </is>
      </c>
      <c r="Q93" s="328" t="inlineStr">
        <is>
          <t>○</t>
        </is>
      </c>
    </row>
    <row r="94" ht="18" customHeight="1">
      <c r="F94" s="328" t="inlineStr">
        <is>
          <t>予備電源試験</t>
        </is>
      </c>
      <c r="I94" s="331" t="inlineStr">
        <is>
          <t>電源の自動切替機能</t>
        </is>
      </c>
      <c r="L94" s="351" t="inlineStr">
        <is>
          <t>―――――――</t>
        </is>
      </c>
      <c r="Q94" s="333" t="inlineStr">
        <is>
          <t>／</t>
        </is>
      </c>
    </row>
    <row r="95" ht="18" customHeight="1">
      <c r="I95" s="353" t="inlineStr">
        <is>
          <t>電圧</t>
        </is>
      </c>
      <c r="L95" s="343" t="inlineStr">
        <is>
          <t>Ｖ</t>
        </is>
      </c>
      <c r="Q95" s="333" t="inlineStr">
        <is>
          <t>／</t>
        </is>
      </c>
    </row>
    <row r="96" ht="18" customHeight="1">
      <c r="C96" s="353" t="inlineStr">
        <is>
          <t>＊感知器</t>
        </is>
      </c>
      <c r="F96" s="353" t="inlineStr">
        <is>
          <t>作動試験</t>
        </is>
      </c>
      <c r="L96" s="351" t="inlineStr">
        <is>
          <t>―――――――</t>
        </is>
      </c>
      <c r="Q96" s="328" t="inlineStr">
        <is>
          <t>○</t>
        </is>
      </c>
    </row>
    <row r="97" ht="18" customHeight="1">
      <c r="C97" s="355" t="inlineStr">
        <is>
          <t>＊音声警報装置
・音響装置</t>
        </is>
      </c>
      <c r="F97" s="353" t="inlineStr">
        <is>
          <t>作動試験</t>
        </is>
      </c>
      <c r="I97" s="353" t="inlineStr">
        <is>
          <t>音声警報</t>
        </is>
      </c>
      <c r="L97" s="351" t="inlineStr">
        <is>
          <t>―――――――</t>
        </is>
      </c>
      <c r="Q97" s="333" t="inlineStr">
        <is>
          <t>／</t>
        </is>
      </c>
    </row>
    <row r="98" ht="18" customHeight="1">
      <c r="I98" s="353" t="inlineStr">
        <is>
          <t>音響警報</t>
        </is>
      </c>
      <c r="L98" s="351" t="inlineStr">
        <is>
          <t>―――――――</t>
        </is>
      </c>
      <c r="Q98" s="333" t="inlineStr">
        <is>
          <t>／</t>
        </is>
      </c>
    </row>
    <row r="99" ht="18" customHeight="1">
      <c r="C99" s="328" t="inlineStr">
        <is>
          <t>＊戸外表示器</t>
        </is>
      </c>
      <c r="F99" s="353" t="inlineStr">
        <is>
          <t>作動試験</t>
        </is>
      </c>
      <c r="L99" s="351" t="inlineStr">
        <is>
          <t>―――――――</t>
        </is>
      </c>
      <c r="Q99" s="328" t="inlineStr">
        <is>
          <t>○</t>
        </is>
      </c>
    </row>
    <row r="100" ht="18" customHeight="1">
      <c r="C100" s="355" t="inlineStr">
        <is>
          <t>関係者等へ
の報知装置</t>
        </is>
      </c>
      <c r="F100" s="353" t="inlineStr">
        <is>
          <t>作動試験</t>
        </is>
      </c>
      <c r="L100" s="351" t="inlineStr">
        <is>
          <t>―――――――</t>
        </is>
      </c>
      <c r="Q100" s="333" t="inlineStr">
        <is>
          <t>／</t>
        </is>
      </c>
    </row>
    <row r="101" ht="18" customHeight="1"/>
    <row r="102" ht="18" customHeight="1">
      <c r="B102" s="408" t="inlineStr">
        <is>
          <t>共同住宅用非常警報設備</t>
        </is>
      </c>
      <c r="C102" s="353" t="inlineStr">
        <is>
          <t>起動装置</t>
        </is>
      </c>
      <c r="F102" s="353" t="inlineStr">
        <is>
          <t>起動装置試験</t>
        </is>
      </c>
      <c r="L102" s="351" t="inlineStr">
        <is>
          <t>―――――――</t>
        </is>
      </c>
      <c r="Q102" s="333" t="inlineStr">
        <is>
          <t>／</t>
        </is>
      </c>
      <c r="U102" s="2" t="n"/>
    </row>
    <row r="103" ht="18" customHeight="1">
      <c r="C103" s="353" t="inlineStr">
        <is>
          <t>音響装置</t>
        </is>
      </c>
      <c r="F103" s="328" t="inlineStr">
        <is>
          <t>音響装置試験</t>
        </is>
      </c>
      <c r="I103" s="328" t="inlineStr">
        <is>
          <t>鳴動方式試験</t>
        </is>
      </c>
      <c r="L103" s="351" t="inlineStr">
        <is>
          <t>―――――――</t>
        </is>
      </c>
      <c r="Q103" s="333" t="inlineStr">
        <is>
          <t>／</t>
        </is>
      </c>
      <c r="U103" s="2" t="n"/>
    </row>
    <row r="104" ht="18" customHeight="1">
      <c r="I104" s="353" t="inlineStr">
        <is>
          <t>作動試験</t>
        </is>
      </c>
      <c r="L104" s="351" t="inlineStr">
        <is>
          <t>―――――――</t>
        </is>
      </c>
      <c r="Q104" s="333" t="inlineStr">
        <is>
          <t>／</t>
        </is>
      </c>
      <c r="U104" s="2" t="n"/>
    </row>
    <row r="105" ht="26.4" customHeight="1">
      <c r="C105" s="353" t="inlineStr">
        <is>
          <t>非常電源</t>
        </is>
      </c>
      <c r="F105" s="328" t="inlineStr">
        <is>
          <t>非常電源試験</t>
        </is>
      </c>
      <c r="I105" s="328" t="inlineStr">
        <is>
          <t>電源自動切替</t>
        </is>
      </c>
      <c r="L105" s="351" t="inlineStr">
        <is>
          <t>―――――――</t>
        </is>
      </c>
      <c r="Q105" s="333" t="inlineStr">
        <is>
          <t>／</t>
        </is>
      </c>
      <c r="U105" s="2" t="n"/>
    </row>
    <row r="106" ht="32.4" customHeight="1">
      <c r="I106" s="409" t="inlineStr">
        <is>
          <t>その他（内蔵型以外のもの）</t>
        </is>
      </c>
      <c r="L106" s="351" t="inlineStr">
        <is>
          <t>―――――――</t>
        </is>
      </c>
      <c r="Q106" s="333" t="inlineStr">
        <is>
          <t>／</t>
        </is>
      </c>
      <c r="U106" s="2" t="n"/>
    </row>
    <row r="107" ht="18" customHeight="1">
      <c r="A107" s="328" t="inlineStr">
        <is>
          <t>備   考</t>
        </is>
      </c>
      <c r="D107" s="410" t="inlineStr">
        <is>
          <t>※住戸用自動火災報知設備及び共同住宅用非常警報設備の更新工事</t>
        </is>
      </c>
    </row>
    <row r="108" ht="18" customHeight="1">
      <c r="D108" s="411" t="inlineStr">
        <is>
          <t>※配線は既設流用</t>
        </is>
      </c>
    </row>
    <row r="109" ht="18" customHeight="1">
      <c r="D109" s="411" t="n"/>
    </row>
    <row r="110" ht="18" customHeight="1">
      <c r="D110" s="411" t="n"/>
    </row>
    <row r="111" ht="18" customHeight="1">
      <c r="D111" s="412" t="n"/>
    </row>
    <row r="112" ht="18" customHeight="1">
      <c r="D112" s="411" t="n"/>
    </row>
    <row r="113" ht="18" customHeight="1">
      <c r="D113" s="413" t="n"/>
    </row>
    <row r="114" ht="9" customHeight="1">
      <c r="A114" s="414" t="n"/>
      <c r="B114" s="414" t="n"/>
      <c r="C114" s="414" t="n"/>
      <c r="D114" s="414" t="n"/>
      <c r="E114" s="414" t="n"/>
      <c r="F114" s="414" t="n"/>
      <c r="G114" s="414" t="n"/>
      <c r="R114" s="414" t="n"/>
    </row>
    <row r="115" ht="18" customHeight="1">
      <c r="A115" s="102" t="inlineStr">
        <is>
          <t>備考１　この用紙の大きさは、日本産業規格Ａ４とすること。</t>
        </is>
      </c>
      <c r="B115" s="102" t="n"/>
    </row>
    <row r="116" ht="18" customHeight="1">
      <c r="A116" s="102" t="inlineStr">
        <is>
          <t xml:space="preserve">　　２　選択肢のある欄は、該当する事項を○印で囲むこと。</t>
        </is>
      </c>
      <c r="B116" s="102" t="n"/>
    </row>
    <row r="117" ht="18" customHeight="1">
      <c r="A117" s="102" t="inlineStr">
        <is>
          <t xml:space="preserve">　　３　結果の欄には、良否を記入すること。</t>
        </is>
      </c>
      <c r="B117" s="102" t="n"/>
    </row>
    <row r="118" ht="18" customHeight="1">
      <c r="A118" s="102" t="inlineStr">
        <is>
          <t xml:space="preserve">　　４　非常電源及び配線についての試験結果報告書を添付すること。</t>
        </is>
      </c>
      <c r="B118" s="102" t="n"/>
    </row>
    <row r="119" ht="18" customHeight="1">
      <c r="A119" s="102" t="inlineStr">
        <is>
          <t xml:space="preserve">　　５　総合操作盤が設けられているものにあっては、総合操作盤についての試験結果報告書を添付すること。</t>
        </is>
      </c>
      <c r="B119" s="102" t="n"/>
    </row>
    <row r="120" ht="18" customHeight="1">
      <c r="A120" s="102" t="inlineStr">
        <is>
          <t xml:space="preserve">　　６　＊印のあるものは、④に警戒区域又は住戸等ごとに個数及び試験結果を記入すること。</t>
        </is>
      </c>
      <c r="B120" s="102" t="n"/>
    </row>
    <row r="121"/>
    <row r="122" ht="18" customHeight="1">
      <c r="A122" s="385" t="n"/>
    </row>
    <row r="123" ht="18" customHeight="1">
      <c r="A123" s="383" t="n"/>
      <c r="B123" s="383" t="n"/>
      <c r="C123" s="383" t="n"/>
      <c r="D123" s="383" t="n"/>
      <c r="E123" s="383" t="n"/>
      <c r="F123" s="383" t="n"/>
      <c r="G123" s="383" t="n"/>
      <c r="H123" s="383" t="n"/>
      <c r="I123" s="383" t="n"/>
      <c r="J123" s="383" t="n"/>
      <c r="K123" s="383" t="n"/>
      <c r="L123" s="386" t="n"/>
      <c r="M123" s="386" t="n"/>
    </row>
    <row r="124" ht="18" customHeight="1">
      <c r="A124" s="386" t="n"/>
      <c r="B124" s="383" t="n"/>
      <c r="C124" s="383" t="n"/>
      <c r="D124" s="383" t="n"/>
      <c r="E124" s="386" t="n"/>
      <c r="F124" s="383" t="n"/>
      <c r="G124" s="383" t="n"/>
      <c r="H124" s="383" t="n"/>
      <c r="I124" s="383" t="n"/>
      <c r="J124" s="383" t="n"/>
      <c r="K124" s="386" t="n"/>
      <c r="L124" s="386" t="n"/>
      <c r="M124" s="386" t="n"/>
    </row>
    <row r="125" ht="18" customHeight="1">
      <c r="A125" s="386" t="n"/>
      <c r="B125" s="383" t="n"/>
      <c r="C125" s="386" t="n"/>
      <c r="D125" s="386" t="n"/>
      <c r="E125" s="386" t="n"/>
      <c r="F125" s="386" t="n"/>
      <c r="G125" s="386" t="n"/>
      <c r="H125" s="386" t="n"/>
      <c r="I125" s="383" t="n"/>
      <c r="J125" s="383" t="n"/>
      <c r="K125" s="386" t="n"/>
      <c r="L125" s="386" t="n"/>
      <c r="M125" s="386" t="n"/>
    </row>
    <row r="126" ht="18" customHeight="1">
      <c r="A126" s="386" t="n"/>
      <c r="B126" s="383" t="n"/>
      <c r="C126" s="386" t="n"/>
      <c r="D126" s="386" t="n"/>
      <c r="E126" s="386" t="n"/>
      <c r="F126" s="386" t="n"/>
      <c r="G126" s="386" t="n"/>
      <c r="H126" s="386" t="n"/>
      <c r="I126" s="387" t="n"/>
      <c r="J126" s="387" t="n"/>
      <c r="K126" s="386" t="n"/>
      <c r="L126" s="386" t="n"/>
      <c r="M126" s="386" t="n"/>
    </row>
    <row r="127" ht="18" customHeight="1">
      <c r="A127" s="378" t="n"/>
      <c r="B127" s="379" t="n"/>
      <c r="C127" s="380" t="n"/>
      <c r="D127" s="381" t="n"/>
      <c r="E127" s="381" t="n"/>
      <c r="F127" s="348" t="n"/>
      <c r="G127" s="381" t="n"/>
      <c r="H127" s="381" t="n"/>
      <c r="I127" s="381" t="n"/>
      <c r="J127" s="381" t="n"/>
      <c r="K127" s="381" t="n"/>
      <c r="L127" s="381" t="n"/>
      <c r="M127" s="381" t="n"/>
    </row>
    <row r="128" ht="18" customHeight="1">
      <c r="A128" s="378" t="n"/>
      <c r="B128" s="382" t="n"/>
      <c r="C128" s="380" t="n"/>
      <c r="D128" s="381" t="n"/>
      <c r="E128" s="381" t="n"/>
      <c r="F128" s="381" t="n"/>
      <c r="G128" s="381" t="n"/>
      <c r="H128" s="381" t="n"/>
      <c r="I128" s="381" t="n"/>
      <c r="J128" s="381" t="n"/>
      <c r="K128" s="381" t="n"/>
      <c r="L128" s="381" t="n"/>
      <c r="M128" s="381" t="n"/>
    </row>
    <row r="129" ht="18" customHeight="1">
      <c r="A129" s="378" t="n"/>
      <c r="B129" s="379" t="n"/>
      <c r="C129" s="380" t="n"/>
      <c r="D129" s="381" t="n"/>
      <c r="E129" s="381" t="n"/>
      <c r="F129" s="381" t="n"/>
      <c r="G129" s="381" t="n"/>
      <c r="H129" s="381" t="n"/>
      <c r="I129" s="381" t="n"/>
      <c r="J129" s="381" t="n"/>
      <c r="K129" s="381" t="n"/>
      <c r="L129" s="381" t="n"/>
      <c r="M129" s="381" t="n"/>
    </row>
    <row r="130" ht="18" customHeight="1">
      <c r="A130" s="378" t="n"/>
      <c r="B130" s="379" t="n"/>
      <c r="C130" s="380" t="n"/>
      <c r="D130" s="381" t="n"/>
      <c r="E130" s="381" t="n"/>
      <c r="F130" s="381" t="n"/>
      <c r="G130" s="381" t="n"/>
      <c r="H130" s="381" t="n"/>
      <c r="I130" s="381" t="n"/>
      <c r="J130" s="381" t="n"/>
      <c r="K130" s="381" t="n"/>
      <c r="L130" s="381" t="n"/>
      <c r="M130" s="381" t="n"/>
    </row>
    <row r="131" ht="18" customHeight="1">
      <c r="A131" s="378" t="n"/>
      <c r="B131" s="379" t="n"/>
      <c r="C131" s="380" t="n"/>
      <c r="D131" s="381" t="n"/>
      <c r="E131" s="381" t="n"/>
      <c r="F131" s="381" t="n"/>
      <c r="G131" s="381" t="n"/>
      <c r="H131" s="381" t="n"/>
      <c r="I131" s="381" t="n"/>
      <c r="J131" s="381" t="n"/>
      <c r="K131" s="381" t="n"/>
      <c r="L131" s="381" t="n"/>
      <c r="M131" s="381" t="n"/>
    </row>
    <row r="132" ht="18" customHeight="1">
      <c r="A132" s="378" t="n"/>
      <c r="B132" s="379" t="n"/>
      <c r="C132" s="380" t="n"/>
      <c r="D132" s="381" t="n"/>
      <c r="E132" s="381" t="n"/>
      <c r="F132" s="381" t="n"/>
      <c r="G132" s="381" t="n"/>
      <c r="H132" s="381" t="n"/>
      <c r="I132" s="381" t="n"/>
      <c r="J132" s="381" t="n"/>
      <c r="K132" s="381" t="n"/>
      <c r="L132" s="381" t="n"/>
      <c r="M132" s="381" t="n"/>
    </row>
    <row r="133" ht="18" customHeight="1">
      <c r="A133" s="378" t="n"/>
      <c r="B133" s="379" t="n"/>
      <c r="C133" s="380" t="n"/>
      <c r="D133" s="381" t="n"/>
      <c r="E133" s="381" t="n"/>
      <c r="F133" s="381" t="n"/>
      <c r="G133" s="381" t="n"/>
      <c r="H133" s="381" t="n"/>
      <c r="I133" s="381" t="n"/>
      <c r="J133" s="381" t="n"/>
      <c r="K133" s="381" t="n"/>
      <c r="L133" s="381" t="n"/>
      <c r="M133" s="381" t="n"/>
    </row>
    <row r="134" ht="18" customHeight="1">
      <c r="A134" s="378" t="n"/>
      <c r="B134" s="379" t="n"/>
      <c r="C134" s="380" t="n"/>
      <c r="D134" s="381" t="n"/>
      <c r="E134" s="381" t="n"/>
      <c r="F134" s="381" t="n"/>
      <c r="G134" s="381" t="n"/>
      <c r="H134" s="381" t="n"/>
      <c r="I134" s="381" t="n"/>
      <c r="J134" s="381" t="n"/>
      <c r="K134" s="381" t="n"/>
      <c r="L134" s="381" t="n"/>
      <c r="M134" s="381" t="n"/>
    </row>
    <row r="135" ht="18" customHeight="1">
      <c r="A135" s="378" t="n"/>
      <c r="B135" s="379" t="n"/>
      <c r="C135" s="380" t="n"/>
      <c r="D135" s="381" t="n"/>
      <c r="E135" s="381" t="n"/>
      <c r="F135" s="381" t="n"/>
      <c r="G135" s="381" t="n"/>
      <c r="H135" s="381" t="n"/>
      <c r="I135" s="381" t="n"/>
      <c r="J135" s="381" t="n"/>
      <c r="K135" s="381" t="n"/>
      <c r="L135" s="381" t="n"/>
      <c r="M135" s="381" t="n"/>
    </row>
    <row r="136" ht="18" customHeight="1">
      <c r="A136" s="378" t="n"/>
      <c r="B136" s="379" t="n"/>
      <c r="C136" s="380" t="n"/>
      <c r="D136" s="381" t="n"/>
      <c r="E136" s="381" t="n"/>
      <c r="F136" s="381" t="n"/>
      <c r="G136" s="381" t="n"/>
      <c r="H136" s="381" t="n"/>
      <c r="I136" s="381" t="n"/>
      <c r="J136" s="381" t="n"/>
      <c r="K136" s="381" t="n"/>
      <c r="L136" s="381" t="n"/>
      <c r="M136" s="381" t="n"/>
    </row>
    <row r="137" ht="18" customHeight="1">
      <c r="A137" s="378" t="n"/>
      <c r="B137" s="379" t="n"/>
      <c r="C137" s="380" t="n"/>
      <c r="D137" s="381" t="n"/>
      <c r="E137" s="381" t="n"/>
      <c r="F137" s="381" t="n"/>
      <c r="G137" s="381" t="n"/>
      <c r="H137" s="381" t="n"/>
      <c r="I137" s="381" t="n"/>
      <c r="J137" s="381" t="n"/>
      <c r="K137" s="381" t="n"/>
      <c r="L137" s="381" t="n"/>
      <c r="M137" s="381" t="n"/>
    </row>
    <row r="138" ht="18" customHeight="1">
      <c r="A138" s="378" t="n"/>
      <c r="B138" s="346" t="n"/>
      <c r="C138" s="380" t="n"/>
      <c r="D138" s="381" t="n"/>
      <c r="E138" s="381" t="n"/>
      <c r="F138" s="381" t="n"/>
      <c r="G138" s="381" t="n"/>
      <c r="H138" s="381" t="n"/>
      <c r="I138" s="381" t="n"/>
      <c r="J138" s="381" t="n"/>
      <c r="K138" s="381" t="n"/>
      <c r="L138" s="381" t="n"/>
      <c r="M138" s="381" t="n"/>
    </row>
    <row r="139" ht="18" customHeight="1">
      <c r="A139" s="378" t="n"/>
      <c r="B139" s="379" t="n"/>
      <c r="C139" s="380" t="n"/>
      <c r="D139" s="381" t="n"/>
      <c r="E139" s="381" t="n"/>
      <c r="F139" s="381" t="n"/>
      <c r="G139" s="381" t="n"/>
      <c r="H139" s="381" t="n"/>
      <c r="I139" s="381" t="n"/>
      <c r="J139" s="381" t="n"/>
      <c r="K139" s="381" t="n"/>
      <c r="L139" s="381" t="n"/>
      <c r="M139" s="381" t="n"/>
    </row>
    <row r="140" ht="18" customHeight="1">
      <c r="A140" s="378" t="n"/>
      <c r="B140" s="379" t="n"/>
      <c r="C140" s="380" t="n"/>
      <c r="D140" s="381" t="n"/>
      <c r="E140" s="381" t="n"/>
      <c r="F140" s="381" t="n"/>
      <c r="G140" s="381" t="n"/>
      <c r="H140" s="381" t="n"/>
      <c r="I140" s="381" t="n"/>
      <c r="J140" s="381" t="n"/>
      <c r="K140" s="381" t="n"/>
      <c r="L140" s="381" t="n"/>
      <c r="M140" s="381" t="n"/>
    </row>
    <row r="141" ht="18" customHeight="1">
      <c r="A141" s="378" t="n"/>
      <c r="B141" s="379" t="n"/>
      <c r="C141" s="380" t="n"/>
      <c r="D141" s="381" t="n"/>
      <c r="E141" s="381" t="n"/>
      <c r="F141" s="381" t="n"/>
      <c r="G141" s="381" t="n"/>
      <c r="H141" s="381" t="n"/>
      <c r="I141" s="381" t="n"/>
      <c r="J141" s="381" t="n"/>
      <c r="K141" s="381" t="n"/>
      <c r="L141" s="381" t="n"/>
      <c r="M141" s="381" t="n"/>
    </row>
    <row r="142" ht="18" customHeight="1">
      <c r="A142" s="378" t="n"/>
      <c r="B142" s="379" t="n"/>
      <c r="C142" s="380" t="n"/>
      <c r="D142" s="381" t="n"/>
      <c r="E142" s="381" t="n"/>
      <c r="F142" s="381" t="n"/>
      <c r="G142" s="381" t="n"/>
      <c r="H142" s="381" t="n"/>
      <c r="I142" s="381" t="n"/>
      <c r="J142" s="381" t="n"/>
      <c r="K142" s="381" t="n"/>
      <c r="L142" s="381" t="n"/>
      <c r="M142" s="381" t="n"/>
    </row>
    <row r="143" ht="18" customHeight="1">
      <c r="A143" s="378" t="n"/>
      <c r="B143" s="379" t="n"/>
      <c r="C143" s="380" t="n"/>
      <c r="D143" s="381" t="n"/>
      <c r="E143" s="381" t="n"/>
      <c r="F143" s="381" t="n"/>
      <c r="G143" s="381" t="n"/>
      <c r="H143" s="381" t="n"/>
      <c r="I143" s="381" t="n"/>
      <c r="J143" s="381" t="n"/>
      <c r="K143" s="381" t="n"/>
      <c r="L143" s="381" t="n"/>
      <c r="M143" s="381" t="n"/>
    </row>
    <row r="144" ht="18" customHeight="1">
      <c r="A144" s="378" t="n"/>
      <c r="B144" s="379" t="n"/>
      <c r="C144" s="380" t="n"/>
      <c r="D144" s="381" t="n"/>
      <c r="E144" s="381" t="n"/>
      <c r="F144" s="381" t="n"/>
      <c r="G144" s="381" t="n"/>
      <c r="H144" s="381" t="n"/>
      <c r="I144" s="381" t="n"/>
      <c r="J144" s="381" t="n"/>
      <c r="K144" s="381" t="n"/>
      <c r="L144" s="381" t="n"/>
      <c r="M144" s="381" t="n"/>
    </row>
    <row r="145" ht="18" customHeight="1">
      <c r="A145" s="383" t="n"/>
      <c r="B145" s="383" t="n"/>
      <c r="C145" s="381" t="n"/>
      <c r="D145" s="348" t="n"/>
      <c r="E145" s="381" t="n"/>
      <c r="F145" s="381" t="n"/>
      <c r="G145" s="381" t="n"/>
      <c r="H145" s="381" t="n"/>
      <c r="I145" s="381" t="n"/>
      <c r="J145" s="381" t="n"/>
      <c r="K145" s="381" t="n"/>
      <c r="L145" s="381" t="n"/>
      <c r="M145" s="381" t="n"/>
    </row>
    <row r="146" ht="18" customHeight="1">
      <c r="A146" s="384" t="n"/>
    </row>
    <row r="147" ht="18" customHeight="1">
      <c r="A147" s="384" t="n"/>
    </row>
    <row r="148" ht="18" customHeight="1">
      <c r="A148" s="384" t="n"/>
    </row>
    <row r="149" ht="18" customHeight="1">
      <c r="A149" s="384" t="n"/>
    </row>
    <row r="150" ht="18" customHeight="1">
      <c r="A150" s="384" t="n"/>
    </row>
    <row r="151" ht="18" customHeight="1">
      <c r="A151" s="384" t="n"/>
    </row>
    <row r="152"/>
    <row r="153" ht="18" customHeight="1">
      <c r="A153" s="385" t="n"/>
    </row>
    <row r="154" ht="18" customHeight="1">
      <c r="A154" s="383" t="n"/>
      <c r="B154" s="383" t="n"/>
      <c r="C154" s="383" t="n"/>
      <c r="D154" s="383" t="n"/>
      <c r="E154" s="383" t="n"/>
      <c r="F154" s="383" t="n"/>
      <c r="G154" s="383" t="n"/>
      <c r="H154" s="383" t="n"/>
      <c r="I154" s="383" t="n"/>
      <c r="J154" s="383" t="n"/>
      <c r="K154" s="383" t="n"/>
      <c r="L154" s="386" t="n"/>
      <c r="M154" s="386" t="n"/>
    </row>
    <row r="155" ht="18" customHeight="1">
      <c r="A155" s="386" t="n"/>
      <c r="B155" s="383" t="n"/>
      <c r="C155" s="383" t="n"/>
      <c r="D155" s="383" t="n"/>
      <c r="E155" s="386" t="n"/>
      <c r="F155" s="383" t="n"/>
      <c r="G155" s="383" t="n"/>
      <c r="H155" s="383" t="n"/>
      <c r="I155" s="383" t="n"/>
      <c r="J155" s="383" t="n"/>
      <c r="K155" s="386" t="n"/>
      <c r="L155" s="386" t="n"/>
      <c r="M155" s="386" t="n"/>
    </row>
    <row r="156" ht="18" customHeight="1">
      <c r="A156" s="386" t="n"/>
      <c r="B156" s="383" t="n"/>
      <c r="C156" s="386" t="n"/>
      <c r="D156" s="386" t="n"/>
      <c r="E156" s="386" t="n"/>
      <c r="F156" s="386" t="n"/>
      <c r="G156" s="386" t="n"/>
      <c r="H156" s="386" t="n"/>
      <c r="I156" s="383" t="n"/>
      <c r="J156" s="383" t="n"/>
      <c r="K156" s="386" t="n"/>
      <c r="L156" s="386" t="n"/>
      <c r="M156" s="386" t="n"/>
    </row>
    <row r="157" ht="18" customHeight="1">
      <c r="A157" s="386" t="n"/>
      <c r="B157" s="383" t="n"/>
      <c r="C157" s="386" t="n"/>
      <c r="D157" s="386" t="n"/>
      <c r="E157" s="386" t="n"/>
      <c r="F157" s="386" t="n"/>
      <c r="G157" s="386" t="n"/>
      <c r="H157" s="386" t="n"/>
      <c r="I157" s="387" t="n"/>
      <c r="J157" s="387" t="n"/>
      <c r="K157" s="386" t="n"/>
      <c r="L157" s="386" t="n"/>
      <c r="M157" s="386" t="n"/>
    </row>
    <row r="158" ht="18" customHeight="1">
      <c r="A158" s="378" t="n"/>
      <c r="B158" s="379" t="n"/>
      <c r="C158" s="380" t="n"/>
      <c r="D158" s="381" t="n"/>
      <c r="E158" s="381" t="n"/>
      <c r="F158" s="381" t="n"/>
      <c r="G158" s="381" t="n"/>
      <c r="H158" s="381" t="n"/>
      <c r="I158" s="381" t="n"/>
      <c r="J158" s="381" t="n"/>
      <c r="K158" s="381" t="n"/>
      <c r="L158" s="381" t="n"/>
      <c r="M158" s="381" t="n"/>
    </row>
    <row r="159" ht="18" customHeight="1">
      <c r="A159" s="388" t="n"/>
      <c r="B159" s="382" t="n"/>
      <c r="C159" s="380" t="n"/>
      <c r="D159" s="381" t="n"/>
      <c r="E159" s="381" t="n"/>
      <c r="F159" s="381" t="n"/>
      <c r="G159" s="381" t="n"/>
      <c r="H159" s="381" t="n"/>
      <c r="I159" s="381" t="n"/>
      <c r="J159" s="381" t="n"/>
      <c r="K159" s="381" t="n"/>
      <c r="L159" s="381" t="n"/>
      <c r="M159" s="381" t="n"/>
    </row>
    <row r="160" ht="18" customHeight="1">
      <c r="A160" s="388" t="n"/>
      <c r="B160" s="379" t="n"/>
      <c r="C160" s="380" t="n"/>
      <c r="D160" s="381" t="n"/>
      <c r="E160" s="381" t="n"/>
      <c r="F160" s="381" t="n"/>
      <c r="G160" s="381" t="n"/>
      <c r="H160" s="381" t="n"/>
      <c r="I160" s="381" t="n"/>
      <c r="J160" s="381" t="n"/>
      <c r="K160" s="381" t="n"/>
      <c r="L160" s="381" t="n"/>
      <c r="M160" s="381" t="n"/>
    </row>
    <row r="161" ht="18" customHeight="1">
      <c r="A161" s="388" t="n"/>
      <c r="B161" s="379" t="n"/>
      <c r="C161" s="380" t="n"/>
      <c r="D161" s="381" t="n"/>
      <c r="E161" s="381" t="n"/>
      <c r="F161" s="381" t="n"/>
      <c r="G161" s="381" t="n"/>
      <c r="H161" s="381" t="n"/>
      <c r="I161" s="381" t="n"/>
      <c r="J161" s="381" t="n"/>
      <c r="K161" s="381" t="n"/>
      <c r="L161" s="381" t="n"/>
      <c r="M161" s="381" t="n"/>
    </row>
    <row r="162" ht="18" customHeight="1">
      <c r="A162" s="388" t="n"/>
      <c r="B162" s="379" t="n"/>
      <c r="C162" s="380" t="n"/>
      <c r="D162" s="381" t="n"/>
      <c r="E162" s="381" t="n"/>
      <c r="F162" s="381" t="n"/>
      <c r="G162" s="381" t="n"/>
      <c r="H162" s="381" t="n"/>
      <c r="I162" s="381" t="n"/>
      <c r="J162" s="381" t="n"/>
      <c r="K162" s="381" t="n"/>
      <c r="L162" s="381" t="n"/>
      <c r="M162" s="381" t="n"/>
    </row>
    <row r="163" ht="18" customHeight="1">
      <c r="A163" s="388" t="n"/>
      <c r="B163" s="379" t="n"/>
      <c r="C163" s="380" t="n"/>
      <c r="D163" s="381" t="n"/>
      <c r="E163" s="381" t="n"/>
      <c r="F163" s="381" t="n"/>
      <c r="G163" s="381" t="n"/>
      <c r="H163" s="381" t="n"/>
      <c r="I163" s="381" t="n"/>
      <c r="J163" s="381" t="n"/>
      <c r="K163" s="381" t="n"/>
      <c r="L163" s="381" t="n"/>
      <c r="M163" s="381" t="n"/>
    </row>
    <row r="164" ht="18" customHeight="1">
      <c r="A164" s="388" t="n"/>
      <c r="B164" s="379" t="n"/>
      <c r="C164" s="380" t="n"/>
      <c r="D164" s="381" t="n"/>
      <c r="E164" s="381" t="n"/>
      <c r="F164" s="381" t="n"/>
      <c r="G164" s="381" t="n"/>
      <c r="H164" s="381" t="n"/>
      <c r="I164" s="381" t="n"/>
      <c r="J164" s="381" t="n"/>
      <c r="K164" s="381" t="n"/>
      <c r="L164" s="381" t="n"/>
      <c r="M164" s="381" t="n"/>
    </row>
    <row r="165" ht="18" customHeight="1">
      <c r="A165" s="388" t="n"/>
      <c r="B165" s="379" t="n"/>
      <c r="C165" s="380" t="n"/>
      <c r="D165" s="381" t="n"/>
      <c r="E165" s="381" t="n"/>
      <c r="F165" s="381" t="n"/>
      <c r="G165" s="381" t="n"/>
      <c r="H165" s="381" t="n"/>
      <c r="I165" s="381" t="n"/>
      <c r="J165" s="381" t="n"/>
      <c r="K165" s="381" t="n"/>
      <c r="L165" s="381" t="n"/>
      <c r="M165" s="381" t="n"/>
    </row>
    <row r="166" ht="18" customHeight="1">
      <c r="A166" s="388" t="n"/>
      <c r="B166" s="379" t="n"/>
      <c r="C166" s="380" t="n"/>
      <c r="D166" s="381" t="n"/>
      <c r="E166" s="381" t="n"/>
      <c r="F166" s="381" t="n"/>
      <c r="G166" s="381" t="n"/>
      <c r="H166" s="381" t="n"/>
      <c r="I166" s="381" t="n"/>
      <c r="J166" s="381" t="n"/>
      <c r="K166" s="381" t="n"/>
      <c r="L166" s="381" t="n"/>
      <c r="M166" s="381" t="n"/>
    </row>
    <row r="167" ht="18" customHeight="1">
      <c r="A167" s="388" t="n"/>
      <c r="B167" s="379" t="n"/>
      <c r="C167" s="380" t="n"/>
      <c r="D167" s="381" t="n"/>
      <c r="E167" s="381" t="n"/>
      <c r="F167" s="381" t="n"/>
      <c r="G167" s="381" t="n"/>
      <c r="H167" s="381" t="n"/>
      <c r="I167" s="381" t="n"/>
      <c r="J167" s="381" t="n"/>
      <c r="K167" s="381" t="n"/>
      <c r="L167" s="381" t="n"/>
      <c r="M167" s="381" t="n"/>
    </row>
    <row r="168" ht="18" customHeight="1">
      <c r="A168" s="388" t="n"/>
      <c r="B168" s="379" t="n"/>
      <c r="C168" s="380" t="n"/>
      <c r="D168" s="389" t="n"/>
      <c r="E168" s="381" t="n"/>
      <c r="F168" s="389" t="n"/>
      <c r="G168" s="381" t="n"/>
      <c r="H168" s="381" t="n"/>
      <c r="I168" s="381" t="n"/>
      <c r="J168" s="381" t="n"/>
      <c r="K168" s="381" t="n"/>
      <c r="L168" s="381" t="n"/>
      <c r="M168" s="381" t="n"/>
    </row>
    <row r="169" ht="18" customHeight="1">
      <c r="A169" s="388" t="n"/>
      <c r="B169" s="346" t="n"/>
      <c r="C169" s="380" t="n"/>
      <c r="D169" s="389" t="n"/>
      <c r="E169" s="390" t="n"/>
      <c r="F169" s="389" t="n"/>
      <c r="G169" s="381" t="n"/>
      <c r="H169" s="381" t="n"/>
      <c r="I169" s="381" t="n"/>
      <c r="J169" s="381" t="n"/>
      <c r="K169" s="381" t="n"/>
      <c r="L169" s="381" t="n"/>
      <c r="M169" s="381" t="n"/>
    </row>
    <row r="170" ht="18" customHeight="1">
      <c r="A170" s="388" t="n"/>
      <c r="B170" s="379" t="n"/>
      <c r="C170" s="380" t="n"/>
      <c r="D170" s="390" t="n"/>
      <c r="E170" s="390" t="n"/>
      <c r="F170" s="390" t="n"/>
      <c r="G170" s="381" t="n"/>
      <c r="H170" s="381" t="n"/>
      <c r="I170" s="381" t="n"/>
      <c r="J170" s="381" t="n"/>
      <c r="K170" s="381" t="n"/>
      <c r="L170" s="381" t="n"/>
      <c r="M170" s="381" t="n"/>
    </row>
    <row r="171" ht="18" customHeight="1">
      <c r="A171" s="388" t="n"/>
      <c r="B171" s="379" t="n"/>
      <c r="C171" s="380" t="n"/>
      <c r="D171" s="381" t="n"/>
      <c r="E171" s="381" t="n"/>
      <c r="F171" s="381" t="n"/>
      <c r="G171" s="381" t="n"/>
      <c r="H171" s="381" t="n"/>
      <c r="I171" s="381" t="n"/>
      <c r="J171" s="381" t="n"/>
      <c r="K171" s="381" t="n"/>
      <c r="L171" s="381" t="n"/>
      <c r="M171" s="381" t="n"/>
    </row>
    <row r="172" ht="18" customHeight="1">
      <c r="A172" s="388" t="n"/>
      <c r="B172" s="379" t="n"/>
      <c r="C172" s="380" t="n"/>
      <c r="D172" s="381" t="n"/>
      <c r="E172" s="381" t="n"/>
      <c r="F172" s="381" t="n"/>
      <c r="G172" s="381" t="n"/>
      <c r="H172" s="381" t="n"/>
      <c r="I172" s="381" t="n"/>
      <c r="J172" s="381" t="n"/>
      <c r="K172" s="381" t="n"/>
      <c r="L172" s="381" t="n"/>
      <c r="M172" s="381" t="n"/>
    </row>
    <row r="173" ht="18" customHeight="1">
      <c r="A173" s="388" t="n"/>
      <c r="B173" s="379" t="n"/>
      <c r="C173" s="380" t="n"/>
      <c r="D173" s="381" t="n"/>
      <c r="E173" s="381" t="n"/>
      <c r="F173" s="381" t="n"/>
      <c r="G173" s="381" t="n"/>
      <c r="H173" s="381" t="n"/>
      <c r="I173" s="381" t="n"/>
      <c r="J173" s="381" t="n"/>
      <c r="K173" s="381" t="n"/>
      <c r="L173" s="381" t="n"/>
      <c r="M173" s="381" t="n"/>
    </row>
    <row r="174" ht="18" customHeight="1">
      <c r="A174" s="383" t="n"/>
      <c r="B174" s="383" t="n"/>
      <c r="C174" s="383" t="n"/>
      <c r="D174" s="348" t="n"/>
      <c r="E174" s="383" t="n"/>
      <c r="F174" s="348" t="n"/>
      <c r="G174" s="383" t="n"/>
      <c r="H174" s="383" t="n"/>
      <c r="I174" s="383" t="n"/>
      <c r="J174" s="383" t="n"/>
      <c r="K174" s="383" t="n"/>
      <c r="L174" s="383" t="n"/>
      <c r="M174" s="383" t="n"/>
    </row>
    <row r="175" ht="18" customHeight="1">
      <c r="A175" s="383" t="n"/>
      <c r="B175" s="383" t="n"/>
      <c r="C175" s="383" t="n"/>
      <c r="D175" s="391" t="n"/>
      <c r="E175" s="383" t="n"/>
      <c r="F175" s="389" t="n"/>
      <c r="G175" s="383" t="n"/>
      <c r="H175" s="383" t="n"/>
      <c r="I175" s="383" t="n"/>
      <c r="J175" s="383" t="n"/>
      <c r="K175" s="383" t="n"/>
      <c r="L175" s="383" t="n"/>
      <c r="M175" s="383" t="n"/>
    </row>
    <row r="176" ht="18" customHeight="1">
      <c r="A176" s="348" t="n"/>
      <c r="B176" s="383" t="n"/>
      <c r="C176" s="383" t="n"/>
      <c r="D176" s="383" t="n"/>
      <c r="E176" s="383" t="n"/>
      <c r="F176" s="383" t="n"/>
      <c r="G176" s="383" t="n"/>
      <c r="H176" s="383" t="n"/>
      <c r="I176" s="383" t="n"/>
      <c r="J176" s="383" t="n"/>
      <c r="K176" s="383" t="n"/>
      <c r="L176" s="383" t="n"/>
      <c r="M176" s="383" t="n"/>
    </row>
    <row r="177" ht="18" customHeight="1">
      <c r="A177" s="384" t="n"/>
    </row>
    <row r="178" ht="18" customHeight="1">
      <c r="A178" s="384" t="n"/>
    </row>
    <row r="179" ht="18" customHeight="1">
      <c r="A179" s="384" t="n"/>
    </row>
    <row r="180" ht="18" customHeight="1">
      <c r="A180" s="384" t="n"/>
    </row>
    <row r="181" ht="18" customHeight="1">
      <c r="A181" s="384" t="n"/>
    </row>
    <row r="182" ht="18" customHeight="1">
      <c r="A182" s="384" t="n"/>
    </row>
  </sheetData>
  <mergeCells count="332">
    <mergeCell ref="L98:P98"/>
    <mergeCell ref="B85:B101"/>
    <mergeCell ref="B23:J23"/>
    <mergeCell ref="F50:K50"/>
    <mergeCell ref="P19:R19"/>
    <mergeCell ref="L106:P106"/>
    <mergeCell ref="C79:E80"/>
    <mergeCell ref="L93:P93"/>
    <mergeCell ref="Q63:R63"/>
    <mergeCell ref="Q26:R26"/>
    <mergeCell ref="O40:P40"/>
    <mergeCell ref="D110:R110"/>
    <mergeCell ref="Q27:R27"/>
    <mergeCell ref="N32:P32"/>
    <mergeCell ref="L59:P59"/>
    <mergeCell ref="C105:E106"/>
    <mergeCell ref="L46:P46"/>
    <mergeCell ref="L61:P61"/>
    <mergeCell ref="F55:K55"/>
    <mergeCell ref="L48:P48"/>
    <mergeCell ref="D41:F41"/>
    <mergeCell ref="Q37:R37"/>
    <mergeCell ref="F70:K70"/>
    <mergeCell ref="A39:C42"/>
    <mergeCell ref="K20:O20"/>
    <mergeCell ref="F71:K71"/>
    <mergeCell ref="K22:O22"/>
    <mergeCell ref="F58:K58"/>
    <mergeCell ref="F52:K52"/>
    <mergeCell ref="Q40:R40"/>
    <mergeCell ref="C92:E95"/>
    <mergeCell ref="F60:K60"/>
    <mergeCell ref="C65:E66"/>
    <mergeCell ref="P20:R20"/>
    <mergeCell ref="F68:K68"/>
    <mergeCell ref="C46:E51"/>
    <mergeCell ref="L49:P49"/>
    <mergeCell ref="P22:R22"/>
    <mergeCell ref="Q104:R104"/>
    <mergeCell ref="C57:C62"/>
    <mergeCell ref="E57:E62"/>
    <mergeCell ref="Q106:R106"/>
    <mergeCell ref="Q77:R77"/>
    <mergeCell ref="L67:P67"/>
    <mergeCell ref="B19:J19"/>
    <mergeCell ref="L100:P101"/>
    <mergeCell ref="Q72:R72"/>
    <mergeCell ref="L62:P62"/>
    <mergeCell ref="B25:K25"/>
    <mergeCell ref="F61:K61"/>
    <mergeCell ref="D15:R15"/>
    <mergeCell ref="L64:P64"/>
    <mergeCell ref="B20:J20"/>
    <mergeCell ref="L13:R13"/>
    <mergeCell ref="L51:P51"/>
    <mergeCell ref="Q59:R59"/>
    <mergeCell ref="Q46:R46"/>
    <mergeCell ref="N35:P35"/>
    <mergeCell ref="F73:K73"/>
    <mergeCell ref="Q61:R61"/>
    <mergeCell ref="K40:N40"/>
    <mergeCell ref="Q48:R48"/>
    <mergeCell ref="Q41:R41"/>
    <mergeCell ref="F74:K74"/>
    <mergeCell ref="I88:K89"/>
    <mergeCell ref="A6:R6"/>
    <mergeCell ref="Q56:R56"/>
    <mergeCell ref="L82:P82"/>
    <mergeCell ref="F76:K76"/>
    <mergeCell ref="I90:K91"/>
    <mergeCell ref="J13:K13"/>
    <mergeCell ref="B33:K33"/>
    <mergeCell ref="L75:P75"/>
    <mergeCell ref="A3:R3"/>
    <mergeCell ref="L90:P91"/>
    <mergeCell ref="B35:K35"/>
    <mergeCell ref="A5:R5"/>
    <mergeCell ref="A84:K84"/>
    <mergeCell ref="F92:K92"/>
    <mergeCell ref="Q34:R34"/>
    <mergeCell ref="D16:E16"/>
    <mergeCell ref="C75:E76"/>
    <mergeCell ref="I39:J39"/>
    <mergeCell ref="Q36:R36"/>
    <mergeCell ref="K39:L39"/>
    <mergeCell ref="F69:K69"/>
    <mergeCell ref="B45:B68"/>
    <mergeCell ref="L72:P72"/>
    <mergeCell ref="F97:H98"/>
    <mergeCell ref="C45:E45"/>
    <mergeCell ref="B22:J22"/>
    <mergeCell ref="K10:R10"/>
    <mergeCell ref="L65:P65"/>
    <mergeCell ref="B34:K34"/>
    <mergeCell ref="B28:K28"/>
    <mergeCell ref="C81:E82"/>
    <mergeCell ref="F51:K51"/>
    <mergeCell ref="L88:P89"/>
    <mergeCell ref="F85:H85"/>
    <mergeCell ref="B30:K30"/>
    <mergeCell ref="Q62:R62"/>
    <mergeCell ref="D107:R107"/>
    <mergeCell ref="Q64:R64"/>
    <mergeCell ref="Q51:R51"/>
    <mergeCell ref="C69:E74"/>
    <mergeCell ref="F67:K67"/>
    <mergeCell ref="Q93:R93"/>
    <mergeCell ref="F77:K77"/>
    <mergeCell ref="C63:E64"/>
    <mergeCell ref="F82:K82"/>
    <mergeCell ref="L58:P58"/>
    <mergeCell ref="L85:P85"/>
    <mergeCell ref="L60:P60"/>
    <mergeCell ref="A45:A82"/>
    <mergeCell ref="A15:C17"/>
    <mergeCell ref="L84:P84"/>
    <mergeCell ref="F100:K101"/>
    <mergeCell ref="L80:P80"/>
    <mergeCell ref="K19:O19"/>
    <mergeCell ref="Q75:R75"/>
    <mergeCell ref="F59:K59"/>
    <mergeCell ref="D108:R108"/>
    <mergeCell ref="C99:E99"/>
    <mergeCell ref="Q52:R52"/>
    <mergeCell ref="F88:H91"/>
    <mergeCell ref="Q39:R39"/>
    <mergeCell ref="B36:K36"/>
    <mergeCell ref="F72:K72"/>
    <mergeCell ref="L71:P71"/>
    <mergeCell ref="C86:E91"/>
    <mergeCell ref="B31:K31"/>
    <mergeCell ref="L73:P73"/>
    <mergeCell ref="C97:E98"/>
    <mergeCell ref="A24:A37"/>
    <mergeCell ref="D113:R113"/>
    <mergeCell ref="Q65:R65"/>
    <mergeCell ref="I105:K105"/>
    <mergeCell ref="D40:F40"/>
    <mergeCell ref="N37:P37"/>
    <mergeCell ref="G38:L38"/>
    <mergeCell ref="L86:P86"/>
    <mergeCell ref="X52:AB52"/>
    <mergeCell ref="Q90:R91"/>
    <mergeCell ref="C103:E104"/>
    <mergeCell ref="Q85:R85"/>
    <mergeCell ref="A19:A23"/>
    <mergeCell ref="F96:K96"/>
    <mergeCell ref="I94:K94"/>
    <mergeCell ref="Q78:R78"/>
    <mergeCell ref="L104:P104"/>
    <mergeCell ref="N27:P27"/>
    <mergeCell ref="C96:E96"/>
    <mergeCell ref="L54:P54"/>
    <mergeCell ref="C100:E101"/>
    <mergeCell ref="Q80:R80"/>
    <mergeCell ref="I95:K95"/>
    <mergeCell ref="N25:P25"/>
    <mergeCell ref="L56:P56"/>
    <mergeCell ref="L105:P105"/>
    <mergeCell ref="M38:N38"/>
    <mergeCell ref="L99:P99"/>
    <mergeCell ref="F105:H106"/>
    <mergeCell ref="Q88:R89"/>
    <mergeCell ref="Q25:R25"/>
    <mergeCell ref="F45:K45"/>
    <mergeCell ref="Q33:R33"/>
    <mergeCell ref="F66:K66"/>
    <mergeCell ref="F93:K93"/>
    <mergeCell ref="L92:P92"/>
    <mergeCell ref="L102:P102"/>
    <mergeCell ref="L94:P94"/>
    <mergeCell ref="Q84:R84"/>
    <mergeCell ref="L44:P44"/>
    <mergeCell ref="C55:E56"/>
    <mergeCell ref="Q86:R86"/>
    <mergeCell ref="A44:K44"/>
    <mergeCell ref="I103:K103"/>
    <mergeCell ref="N33:P33"/>
    <mergeCell ref="I97:K97"/>
    <mergeCell ref="K9:R9"/>
    <mergeCell ref="L57:P57"/>
    <mergeCell ref="G40:J40"/>
    <mergeCell ref="I98:K98"/>
    <mergeCell ref="N28:P28"/>
    <mergeCell ref="O41:P41"/>
    <mergeCell ref="D39:F39"/>
    <mergeCell ref="Q35:R35"/>
    <mergeCell ref="N30:P30"/>
    <mergeCell ref="C14:R14"/>
    <mergeCell ref="Q99:R99"/>
    <mergeCell ref="Q74:R74"/>
    <mergeCell ref="Q49:R49"/>
    <mergeCell ref="Q30:R30"/>
    <mergeCell ref="X69:AB69"/>
    <mergeCell ref="Q76:R76"/>
    <mergeCell ref="C85:E85"/>
    <mergeCell ref="I47:K47"/>
    <mergeCell ref="L95:P95"/>
    <mergeCell ref="L70:P70"/>
    <mergeCell ref="E18:R18"/>
    <mergeCell ref="L103:P103"/>
    <mergeCell ref="L97:P97"/>
    <mergeCell ref="C52:E54"/>
    <mergeCell ref="L47:P47"/>
    <mergeCell ref="Q54:R54"/>
    <mergeCell ref="Q102:R102"/>
    <mergeCell ref="Q29:R29"/>
    <mergeCell ref="F56:K56"/>
    <mergeCell ref="A85:A106"/>
    <mergeCell ref="N34:P34"/>
    <mergeCell ref="A38:C38"/>
    <mergeCell ref="Q31:R31"/>
    <mergeCell ref="N36:P36"/>
    <mergeCell ref="L63:P63"/>
    <mergeCell ref="F57:K57"/>
    <mergeCell ref="L50:P50"/>
    <mergeCell ref="Q105:R105"/>
    <mergeCell ref="L52:P52"/>
    <mergeCell ref="F17:R17"/>
    <mergeCell ref="Q57:R57"/>
    <mergeCell ref="F75:K75"/>
    <mergeCell ref="F62:K62"/>
    <mergeCell ref="L78:P78"/>
    <mergeCell ref="I48:K48"/>
    <mergeCell ref="D17:E17"/>
    <mergeCell ref="A4:R4"/>
    <mergeCell ref="L55:P55"/>
    <mergeCell ref="Q95:R95"/>
    <mergeCell ref="Q70:R70"/>
    <mergeCell ref="F54:K54"/>
    <mergeCell ref="Q45:R45"/>
    <mergeCell ref="Q32:R32"/>
    <mergeCell ref="B29:K29"/>
    <mergeCell ref="Q47:R47"/>
    <mergeCell ref="Q96:R96"/>
    <mergeCell ref="B24:K24"/>
    <mergeCell ref="L66:P66"/>
    <mergeCell ref="K21:O21"/>
    <mergeCell ref="L53:P53"/>
    <mergeCell ref="C77:E78"/>
    <mergeCell ref="B32:K32"/>
    <mergeCell ref="B26:K26"/>
    <mergeCell ref="L68:P68"/>
    <mergeCell ref="Q58:R58"/>
    <mergeCell ref="Q50:R50"/>
    <mergeCell ref="Q60:R60"/>
    <mergeCell ref="F49:K49"/>
    <mergeCell ref="B27:K27"/>
    <mergeCell ref="L79:P79"/>
    <mergeCell ref="F78:K78"/>
    <mergeCell ref="F65:K65"/>
    <mergeCell ref="C67:E68"/>
    <mergeCell ref="L81:P81"/>
    <mergeCell ref="B69:B82"/>
    <mergeCell ref="B37:K37"/>
    <mergeCell ref="A107:C113"/>
    <mergeCell ref="I87:K87"/>
    <mergeCell ref="Q71:R71"/>
    <mergeCell ref="Q55:R55"/>
    <mergeCell ref="A2:R2"/>
    <mergeCell ref="Q73:R73"/>
    <mergeCell ref="L74:P74"/>
    <mergeCell ref="F86:H87"/>
    <mergeCell ref="F46:H48"/>
    <mergeCell ref="L76:P76"/>
    <mergeCell ref="F53:K53"/>
    <mergeCell ref="B102:B106"/>
    <mergeCell ref="L69:P69"/>
    <mergeCell ref="F94:H95"/>
    <mergeCell ref="D109:R109"/>
    <mergeCell ref="G42:R42"/>
    <mergeCell ref="Q66:R66"/>
    <mergeCell ref="D111:R111"/>
    <mergeCell ref="Q53:R53"/>
    <mergeCell ref="F80:K80"/>
    <mergeCell ref="Q68:R68"/>
    <mergeCell ref="F79:K79"/>
    <mergeCell ref="Q97:R97"/>
    <mergeCell ref="L87:P87"/>
    <mergeCell ref="F81:K81"/>
    <mergeCell ref="Q79:R79"/>
    <mergeCell ref="F16:R16"/>
    <mergeCell ref="D57:D62"/>
    <mergeCell ref="Q81:R81"/>
    <mergeCell ref="K23:O23"/>
    <mergeCell ref="F63:K63"/>
    <mergeCell ref="F99:K99"/>
    <mergeCell ref="C12:R12"/>
    <mergeCell ref="L77:P77"/>
    <mergeCell ref="P21:R21"/>
    <mergeCell ref="I85:K85"/>
    <mergeCell ref="Q28:R28"/>
    <mergeCell ref="P23:R23"/>
    <mergeCell ref="M39:N39"/>
    <mergeCell ref="O39:P39"/>
    <mergeCell ref="G39:H39"/>
    <mergeCell ref="Q92:R92"/>
    <mergeCell ref="Q67:R67"/>
    <mergeCell ref="D112:R112"/>
    <mergeCell ref="Q103:R103"/>
    <mergeCell ref="Q94:R94"/>
    <mergeCell ref="Q69:R69"/>
    <mergeCell ref="A12:B12"/>
    <mergeCell ref="D42:F42"/>
    <mergeCell ref="Q100:R101"/>
    <mergeCell ref="A14:B14"/>
    <mergeCell ref="Q98:R98"/>
    <mergeCell ref="I86:K86"/>
    <mergeCell ref="L96:P96"/>
    <mergeCell ref="I104:K104"/>
    <mergeCell ref="I106:K106"/>
    <mergeCell ref="Q87:R87"/>
    <mergeCell ref="Q24:R24"/>
    <mergeCell ref="O38:R38"/>
    <mergeCell ref="N29:P29"/>
    <mergeCell ref="C13:I13"/>
    <mergeCell ref="Q82:R82"/>
    <mergeCell ref="F102:K102"/>
    <mergeCell ref="F103:H104"/>
    <mergeCell ref="N31:P31"/>
    <mergeCell ref="L45:P45"/>
    <mergeCell ref="D38:F38"/>
    <mergeCell ref="N24:P24"/>
    <mergeCell ref="C102:E102"/>
    <mergeCell ref="Q44:R44"/>
    <mergeCell ref="N26:P26"/>
    <mergeCell ref="F64:K64"/>
    <mergeCell ref="I46:K46"/>
    <mergeCell ref="A18:D18"/>
    <mergeCell ref="G41:N41"/>
    <mergeCell ref="A13:B13"/>
    <mergeCell ref="B21:J21"/>
  </mergeCells>
  <dataValidations count="2">
    <dataValidation sqref="Q45:R82 Q85:R106" showDropDown="0" showInputMessage="1" showErrorMessage="1" allowBlank="1" type="list">
      <formula1>$AG$45:$AG$47</formula1>
    </dataValidation>
    <dataValidation sqref="X52:AB52" showDropDown="0" showInputMessage="1" showErrorMessage="1" allowBlank="1" type="list">
      <formula1>$AH$45:$AH$48</formula1>
    </dataValidation>
  </dataValidations>
  <pageMargins left="0.5118110236220472" right="0.5118110236220472" top="0.7480314960629921" bottom="0.5511811023622047" header="0.3149606299212598" footer="0.3149606299212598"/>
  <pageSetup orientation="portrait" paperSize="9"/>
</worksheet>
</file>

<file path=xl/worksheets/sheet10.xml><?xml version="1.0" encoding="utf-8"?>
<worksheet xmlns="http://schemas.openxmlformats.org/spreadsheetml/2006/main">
  <sheetPr>
    <tabColor theme="4"/>
    <outlinePr summaryBelow="1" summaryRight="1"/>
    <pageSetUpPr/>
  </sheetPr>
  <dimension ref="A1:V124"/>
  <sheetViews>
    <sheetView workbookViewId="0">
      <selection activeCell="A1" sqref="A1"/>
    </sheetView>
  </sheetViews>
  <sheetFormatPr baseColWidth="8" defaultRowHeight="15"/>
  <sheetData>
    <row r="1" ht="18" customHeight="1">
      <c r="A1" s="310" t="inlineStr">
        <is>
          <t>別記様式第11</t>
        </is>
      </c>
      <c r="R1" s="397" t="inlineStr">
        <is>
          <t>（その１）①</t>
        </is>
      </c>
    </row>
    <row r="2" ht="9" customHeight="1">
      <c r="A2" s="311" t="n"/>
    </row>
    <row r="3" ht="18" customHeight="1">
      <c r="A3" s="312" t="inlineStr">
        <is>
          <t>自 動 火 災 報 知 設 備 試 験 結 果 報 告 書</t>
        </is>
      </c>
    </row>
    <row r="4" ht="9" customHeight="1">
      <c r="A4" s="313" t="n"/>
    </row>
    <row r="5" ht="18" customHeight="1">
      <c r="A5" s="314" t="inlineStr">
        <is>
          <t xml:space="preserve">試験実施日　　令和 　年    月    日　</t>
        </is>
      </c>
    </row>
    <row r="6" ht="9" customHeight="1">
      <c r="A6" s="313" t="n"/>
    </row>
    <row r="7" ht="18" customHeight="1">
      <c r="A7" s="315" t="n"/>
      <c r="B7" s="316" t="n"/>
      <c r="C7" s="316" t="n"/>
      <c r="D7" s="316" t="n"/>
      <c r="E7" s="316" t="n"/>
      <c r="F7" s="316" t="n"/>
      <c r="G7" s="316" t="n"/>
      <c r="H7" s="317" t="inlineStr">
        <is>
          <t>試験実施者</t>
        </is>
      </c>
      <c r="I7" s="316" t="n"/>
      <c r="K7" s="316" t="n"/>
      <c r="L7" s="316" t="n"/>
      <c r="M7" s="316" t="n"/>
      <c r="N7" s="316" t="n"/>
      <c r="O7" s="316" t="n"/>
      <c r="P7" s="316" t="n"/>
      <c r="Q7" s="316" t="n"/>
      <c r="R7" s="318" t="n"/>
    </row>
    <row r="8" ht="9" customHeight="1">
      <c r="A8" s="319" t="n"/>
      <c r="B8" s="316" t="n"/>
      <c r="C8" s="316" t="n"/>
      <c r="D8" s="316" t="n"/>
      <c r="E8" s="316" t="n"/>
      <c r="F8" s="316" t="n"/>
      <c r="G8" s="316" t="n"/>
      <c r="H8" s="316" t="n"/>
      <c r="I8" s="316" t="n"/>
      <c r="J8" s="316" t="n"/>
      <c r="K8" s="316" t="n"/>
      <c r="L8" s="316" t="n"/>
      <c r="M8" s="316" t="n"/>
      <c r="N8" s="316" t="n"/>
      <c r="O8" s="316" t="n"/>
      <c r="P8" s="316" t="n"/>
      <c r="Q8" s="316" t="n"/>
      <c r="R8" s="318" t="n"/>
    </row>
    <row r="9" ht="18" customHeight="1">
      <c r="A9" s="315" t="n"/>
      <c r="B9" s="316" t="n"/>
      <c r="C9" s="316" t="n"/>
      <c r="D9" s="316" t="n"/>
      <c r="E9" s="316" t="n"/>
      <c r="F9" s="316" t="n"/>
      <c r="G9" s="316" t="n"/>
      <c r="H9" s="316" t="n"/>
      <c r="I9" s="320" t="inlineStr">
        <is>
          <t>住　所</t>
        </is>
      </c>
      <c r="K9" s="321">
        <f>表紙!L8</f>
        <v/>
      </c>
    </row>
    <row r="10" ht="18" customHeight="1">
      <c r="A10" s="315" t="n"/>
      <c r="B10" s="316" t="n"/>
      <c r="C10" s="316" t="n"/>
      <c r="D10" s="316" t="n"/>
      <c r="E10" s="316" t="n"/>
      <c r="F10" s="316" t="n"/>
      <c r="G10" s="316" t="n"/>
      <c r="H10" s="316" t="n"/>
      <c r="I10" s="320" t="inlineStr">
        <is>
          <t>氏　名</t>
        </is>
      </c>
      <c r="K10" s="321">
        <f>表紙!L9</f>
        <v/>
      </c>
    </row>
    <row r="11" ht="9" customHeight="1">
      <c r="A11" s="322" t="n"/>
      <c r="B11" s="323" t="n"/>
      <c r="C11" s="323" t="n"/>
      <c r="D11" s="323" t="n"/>
      <c r="E11" s="323" t="n"/>
      <c r="F11" s="323" t="n"/>
      <c r="G11" s="323" t="n"/>
      <c r="H11" s="323" t="n"/>
      <c r="I11" s="323" t="n"/>
      <c r="J11" s="323" t="n"/>
      <c r="K11" s="323" t="n"/>
      <c r="L11" s="323" t="n"/>
      <c r="M11" s="323" t="n"/>
      <c r="N11" s="323" t="n"/>
      <c r="O11" s="323" t="n"/>
      <c r="P11" s="323" t="n"/>
      <c r="Q11" s="323" t="n"/>
      <c r="R11" s="324" t="n"/>
    </row>
    <row r="12" ht="18" customHeight="1">
      <c r="A12" s="325" t="inlineStr">
        <is>
          <t>用途</t>
        </is>
      </c>
      <c r="C12" s="325" t="inlineStr">
        <is>
          <t>（　５　）項　ロ・共同住宅</t>
        </is>
      </c>
    </row>
    <row r="13" ht="18" customHeight="1">
      <c r="A13" s="326" t="inlineStr">
        <is>
          <t>延べ面積</t>
        </is>
      </c>
      <c r="C13" s="327">
        <f>面積概要表!L8</f>
        <v/>
      </c>
      <c r="J13" s="328" t="inlineStr">
        <is>
          <t>階　数</t>
        </is>
      </c>
      <c r="L13" s="328">
        <f>面積概要表!AC6</f>
        <v/>
      </c>
    </row>
    <row r="14" ht="18" customHeight="1">
      <c r="A14" s="328" t="inlineStr">
        <is>
          <t>受信機</t>
        </is>
      </c>
      <c r="C14" s="351" t="inlineStr">
        <is>
          <t>蓄積式・二信号式・アナログ式・自動試験機能付き・遠隔試験機能付き・無線式・その他（　　　）</t>
        </is>
      </c>
    </row>
    <row r="15" ht="18" customHeight="1">
      <c r="C15" s="331">
        <f>"Ｐ・ＧＰ型"&amp;'共用部【その2】 '!Q3&amp;" 級　回線数  "&amp;'共用部【その2】 '!U3</f>
        <v/>
      </c>
      <c r="I15" s="331" t="inlineStr">
        <is>
          <t>Ｒ・ＧＲ型自火報点数   点・その他点数　点・予備点数  点</t>
        </is>
      </c>
    </row>
    <row r="16" ht="18" customHeight="1">
      <c r="C16" s="328" t="inlineStr">
        <is>
          <t>定格電圧</t>
        </is>
      </c>
      <c r="E16" s="329" t="inlineStr">
        <is>
          <t>ＡＣ　100　Ｖ　・　ＤＣ　　　Ｖ</t>
        </is>
      </c>
    </row>
    <row r="17" ht="18" customHeight="1">
      <c r="C17" s="328" t="inlineStr">
        <is>
          <t>予備電源</t>
        </is>
      </c>
      <c r="E17" s="415" t="inlineStr">
        <is>
          <t>NiCd・その他（　　　）</t>
        </is>
      </c>
      <c r="K17" s="416">
        <f>IF('共用部【その2】 '!R5="","予備電源（DC     Ｖ　　AH）","DC "&amp;'共用部【その2】 '!R5&amp;"V  " &amp;'共用部【その2】 '!T5&amp;"AH")</f>
        <v/>
      </c>
    </row>
    <row r="18" ht="18" customHeight="1">
      <c r="A18" s="333" t="inlineStr">
        <is>
          <t>発信機</t>
        </is>
      </c>
      <c r="C18" s="417" t="n"/>
      <c r="D18" s="418" t="n"/>
      <c r="E18" s="419" t="n"/>
      <c r="F18" s="418" t="inlineStr">
        <is>
          <t>型</t>
        </is>
      </c>
      <c r="G18" s="419">
        <f>'共用部【その2】 '!Q3</f>
        <v/>
      </c>
      <c r="H18" s="418" t="inlineStr">
        <is>
          <t>級</t>
        </is>
      </c>
      <c r="I18" s="418" t="n"/>
      <c r="J18" s="367" t="inlineStr">
        <is>
          <t>屋内型</t>
        </is>
      </c>
      <c r="L18" s="419" t="inlineStr">
        <is>
          <t>個</t>
        </is>
      </c>
      <c r="N18" s="367" t="inlineStr">
        <is>
          <t>屋外型</t>
        </is>
      </c>
      <c r="P18" s="419" t="inlineStr">
        <is>
          <t>個</t>
        </is>
      </c>
      <c r="R18" s="420" t="n"/>
      <c r="V18" s="332" t="n"/>
    </row>
    <row r="19" ht="18" customHeight="1">
      <c r="C19" s="336" t="inlineStr">
        <is>
          <t>（無線式　　　　型　　級　　　　屋内型　　　　個　　屋外型　　　個）</t>
        </is>
      </c>
    </row>
    <row r="20" ht="18" customHeight="1">
      <c r="A20" s="334" t="inlineStr">
        <is>
          <t>中　継　器</t>
        </is>
      </c>
      <c r="B20" s="421" t="inlineStr">
        <is>
          <t>アナログ式・蓄積式・自動試験機能付・遠隔試験機能付・・無線式・他（　　）　回線</t>
        </is>
      </c>
      <c r="L20" s="335" t="inlineStr">
        <is>
          <t>予備電源 有 (　V　　AH)・無</t>
        </is>
      </c>
      <c r="P20" s="335" t="inlineStr">
        <is>
          <t>設置台数　　 台</t>
        </is>
      </c>
      <c r="V20" s="332" t="n"/>
    </row>
    <row r="21" ht="18" customHeight="1">
      <c r="B21" s="421" t="inlineStr">
        <is>
          <t>アナログ式・蓄積式・自動試験機能付・遠隔試験機能付・・無線式・他（　　）　回線</t>
        </is>
      </c>
      <c r="L21" s="335" t="inlineStr">
        <is>
          <t>予備電源 有 (　V　　AH)・無</t>
        </is>
      </c>
      <c r="P21" s="335" t="inlineStr">
        <is>
          <t>設置台数　　 台</t>
        </is>
      </c>
    </row>
    <row r="22" ht="18" customHeight="1">
      <c r="B22" s="421" t="inlineStr">
        <is>
          <t>アナログ式・蓄積式・自動試験機能付・遠隔試験機能付・・無線式・他（　　）　回線</t>
        </is>
      </c>
      <c r="L22" s="335" t="inlineStr">
        <is>
          <t>予備電源 有 (　V　　AH)・無</t>
        </is>
      </c>
      <c r="P22" s="335" t="inlineStr">
        <is>
          <t>設置台数　　 台</t>
        </is>
      </c>
    </row>
    <row r="23" ht="18" customHeight="1">
      <c r="B23" s="421" t="inlineStr">
        <is>
          <t>アナログ式・蓄積式・自動試験機能付・遠隔試験機能付・・無線式・他（　　）　回線</t>
        </is>
      </c>
      <c r="L23" s="335" t="inlineStr">
        <is>
          <t>予備電源 有 (　V　　AH)・無</t>
        </is>
      </c>
      <c r="P23" s="335" t="inlineStr">
        <is>
          <t>設置台数　　 台</t>
        </is>
      </c>
    </row>
    <row r="24" ht="18" customHeight="1">
      <c r="A24" s="422" t="inlineStr">
        <is>
          <t>感知器</t>
        </is>
      </c>
      <c r="B24" s="336" t="inlineStr">
        <is>
          <t>機種</t>
        </is>
      </c>
      <c r="L24" s="336" t="inlineStr">
        <is>
          <t>自</t>
        </is>
      </c>
      <c r="M24" s="336" t="inlineStr">
        <is>
          <t>遠</t>
        </is>
      </c>
      <c r="N24" s="336" t="inlineStr">
        <is>
          <t>種別</t>
        </is>
      </c>
      <c r="Q24" s="336" t="inlineStr">
        <is>
          <t>個数</t>
        </is>
      </c>
    </row>
    <row r="25" ht="18" customHeight="1">
      <c r="B25" s="328" t="inlineStr">
        <is>
          <t>【共用部】</t>
        </is>
      </c>
      <c r="L25" s="328" t="n"/>
      <c r="M25" s="328" t="n"/>
      <c r="N25" s="328" t="n"/>
      <c r="Q25" s="337" t="n"/>
    </row>
    <row r="26" ht="18" customHeight="1">
      <c r="B26" s="328">
        <f>共用部【その1】!B4&amp;"  "&amp;共用部【その1】!D4&amp;共用部【その1】!G4</f>
        <v/>
      </c>
      <c r="L26" s="328">
        <f>IF(共用部【その1】!J4="","",共用部【その1】!J4)</f>
        <v/>
      </c>
      <c r="M26" s="328">
        <f>IF(共用部【その1】!K4="","",共用部【その1】!K4)</f>
        <v/>
      </c>
      <c r="N26" s="328">
        <f>IF(共用部【その1】!L4="","",共用部【その1】!L4)</f>
        <v/>
      </c>
      <c r="Q26" s="337">
        <f>IF(共用部【その1】!M4="","",共用部【その1】!M4)</f>
        <v/>
      </c>
    </row>
    <row r="27" ht="18" customHeight="1">
      <c r="B27" s="328">
        <f>共用部【その1】!B6&amp;"  "&amp;共用部【その1】!D6&amp;共用部【その1】!G6</f>
        <v/>
      </c>
      <c r="L27" s="328">
        <f>IF(共用部【その1】!J6="","",共用部【その1】!J6)</f>
        <v/>
      </c>
      <c r="M27" s="328">
        <f>IF(共用部【その1】!K6="","",共用部【その1】!K6)</f>
        <v/>
      </c>
      <c r="N27" s="328">
        <f>IF(共用部【その1】!L6="","",共用部【その1】!L6)</f>
        <v/>
      </c>
      <c r="Q27" s="337">
        <f>IF(共用部【その1】!M6="","",共用部【その1】!M6)</f>
        <v/>
      </c>
    </row>
    <row r="28" ht="18" customHeight="1">
      <c r="B28" s="328" t="n"/>
      <c r="L28" s="328">
        <f>IF(共用部【その1】!J8="","",共用部【その1】!J8)</f>
        <v/>
      </c>
      <c r="M28" s="328">
        <f>IF(共用部【その1】!K8="","",共用部【その1】!K8)</f>
        <v/>
      </c>
      <c r="N28" s="328">
        <f>IF(共用部【その1】!L8="","",共用部【その1】!L8)</f>
        <v/>
      </c>
      <c r="Q28" s="337">
        <f>IF(共用部【その1】!M8="","",共用部【その1】!M8)</f>
        <v/>
      </c>
    </row>
    <row r="29" ht="18" customHeight="1">
      <c r="B29" s="328" t="n"/>
      <c r="L29" s="328">
        <f>IF(共用部【その1】!J10="","",共用部【その1】!J10)</f>
        <v/>
      </c>
      <c r="M29" s="328">
        <f>IF(共用部【その1】!K10="","",共用部【その1】!K10)</f>
        <v/>
      </c>
      <c r="N29" s="328">
        <f>IF(共用部【その1】!L10="","",共用部【その1】!L10)</f>
        <v/>
      </c>
      <c r="Q29" s="337">
        <f>IF(共用部【その1】!M10="","",共用部【その1】!M10)</f>
        <v/>
      </c>
    </row>
    <row r="30" ht="18" customHeight="1">
      <c r="B30" s="336" t="inlineStr">
        <is>
          <t>【専有部】</t>
        </is>
      </c>
      <c r="L30" s="336" t="n"/>
      <c r="M30" s="336" t="n"/>
      <c r="N30" s="336" t="n"/>
      <c r="Q30" s="339" t="n"/>
    </row>
    <row r="31" ht="18" customHeight="1">
      <c r="B31" s="328">
        <f>住戸部【その1】!B4&amp;" "&amp;住戸部【その1】!D4&amp;住戸部【その1】!G4</f>
        <v/>
      </c>
      <c r="L31" s="328">
        <f>IF(住戸部【その1】!J4="","",住戸部【その1】!J4)</f>
        <v/>
      </c>
      <c r="M31" s="328">
        <f>IF(住戸部【その1】!K4="","",住戸部【その1】!K4)</f>
        <v/>
      </c>
      <c r="N31" s="328">
        <f>IF(住戸部【その1】!L4="","",住戸部【その1】!L4)</f>
        <v/>
      </c>
      <c r="Q31" s="340">
        <f>IF(住戸部【その1】!M4="","",住戸部【その1】!M4)</f>
        <v/>
      </c>
    </row>
    <row r="32" ht="18" customHeight="1">
      <c r="B32" s="328">
        <f>住戸部【その1】!B6&amp;" "&amp;住戸部【その1】!D6&amp;住戸部【その1】!G6</f>
        <v/>
      </c>
      <c r="L32" s="328">
        <f>IF(住戸部【その1】!J6="","",住戸部【その1】!J6)</f>
        <v/>
      </c>
      <c r="M32" s="328">
        <f>IF(住戸部【その1】!K6="","",住戸部【その1】!K6)</f>
        <v/>
      </c>
      <c r="N32" s="328">
        <f>IF(住戸部【その1】!L6="","",住戸部【その1】!L6)</f>
        <v/>
      </c>
      <c r="Q32" s="340">
        <f>IF(住戸部【その1】!M6="","",住戸部【その1】!M6)</f>
        <v/>
      </c>
    </row>
    <row r="33" ht="18" customHeight="1">
      <c r="B33" s="328">
        <f>住戸部【その1】!B8&amp;" "&amp;住戸部【その1】!D8&amp;住戸部【その1】!G8</f>
        <v/>
      </c>
      <c r="L33" s="328">
        <f>IF(住戸部【その1】!J8="","",住戸部【その1】!J8)</f>
        <v/>
      </c>
      <c r="M33" s="328">
        <f>IF(住戸部【その1】!K8="","",住戸部【その1】!K8)</f>
        <v/>
      </c>
      <c r="N33" s="328">
        <f>IF(住戸部【その1】!L8="","",住戸部【その1】!L8)</f>
        <v/>
      </c>
      <c r="Q33" s="340">
        <f>IF(住戸部【その1】!M8="","",住戸部【その1】!M8)</f>
        <v/>
      </c>
    </row>
    <row r="34" ht="18" customHeight="1">
      <c r="B34" s="328">
        <f>住戸部【その1】!B10&amp;" "&amp;住戸部【その1】!D10&amp;住戸部【その1】!G10</f>
        <v/>
      </c>
      <c r="L34" s="328">
        <f>IF(住戸部【その1】!J10="","",住戸部【その1】!J10)</f>
        <v/>
      </c>
      <c r="M34" s="328">
        <f>IF(住戸部【その1】!K10="","",住戸部【その1】!K10)</f>
        <v/>
      </c>
      <c r="N34" s="328">
        <f>IF(住戸部【その1】!L10="","",住戸部【その1】!L10)</f>
        <v/>
      </c>
      <c r="Q34" s="340">
        <f>IF(住戸部【その1】!M10="","",住戸部【その1】!M10)</f>
        <v/>
      </c>
    </row>
    <row r="35" ht="18" customHeight="1">
      <c r="A35" s="93" t="inlineStr">
        <is>
          <t>音響装置</t>
        </is>
      </c>
      <c r="B35" s="328" t="inlineStr">
        <is>
          <t>種別</t>
        </is>
      </c>
      <c r="I35" s="328" t="inlineStr">
        <is>
          <t>種類</t>
        </is>
      </c>
      <c r="K35" s="328" t="inlineStr">
        <is>
          <t>電圧</t>
        </is>
      </c>
      <c r="N35" s="328" t="inlineStr">
        <is>
          <t>電流</t>
        </is>
      </c>
      <c r="Q35" s="328" t="inlineStr">
        <is>
          <t>個</t>
        </is>
      </c>
    </row>
    <row r="36" ht="18" customHeight="1">
      <c r="B36" s="351" t="inlineStr">
        <is>
          <t>主音響装備(内蔵されているものを除く。)</t>
        </is>
      </c>
      <c r="I36" s="328" t="n"/>
      <c r="K36" s="328" t="inlineStr">
        <is>
          <t>ＤＣ　　　Ｖ</t>
        </is>
      </c>
      <c r="N36" s="343" t="inlineStr">
        <is>
          <t>ｍＡ</t>
        </is>
      </c>
      <c r="Q36" s="343" t="inlineStr">
        <is>
          <t>個</t>
        </is>
      </c>
    </row>
    <row r="37" ht="18" customHeight="1">
      <c r="B37" s="351" t="inlineStr">
        <is>
          <t>副音響装備(内蔵されているものを除く。)</t>
        </is>
      </c>
      <c r="I37" s="328" t="n"/>
      <c r="K37" s="328" t="inlineStr">
        <is>
          <t>ＤＣ　　　Ｖ</t>
        </is>
      </c>
      <c r="N37" s="343" t="inlineStr">
        <is>
          <t>ｍＡ</t>
        </is>
      </c>
      <c r="Q37" s="343" t="inlineStr">
        <is>
          <t>個</t>
        </is>
      </c>
    </row>
    <row r="38" ht="18" customHeight="1">
      <c r="B38" s="328" t="inlineStr">
        <is>
          <t>地区音響装置</t>
        </is>
      </c>
      <c r="I38" s="328" t="n"/>
      <c r="K38" s="328" t="inlineStr">
        <is>
          <t>ＤＣ　　　Ｖ</t>
        </is>
      </c>
      <c r="N38" s="343" t="inlineStr">
        <is>
          <t>ｍＡ</t>
        </is>
      </c>
      <c r="Q38" s="343" t="inlineStr">
        <is>
          <t>個</t>
        </is>
      </c>
      <c r="T38" s="332" t="n"/>
    </row>
    <row r="39" ht="18" customHeight="1">
      <c r="I39" s="328" t="n"/>
      <c r="K39" s="328" t="inlineStr">
        <is>
          <t>ＤＣ　　　Ｖ</t>
        </is>
      </c>
      <c r="N39" s="343" t="inlineStr">
        <is>
          <t>ｍＡ</t>
        </is>
      </c>
      <c r="Q39" s="343" t="inlineStr">
        <is>
          <t>個</t>
        </is>
      </c>
    </row>
    <row r="40" ht="18" customHeight="1">
      <c r="I40" s="328" t="n"/>
      <c r="K40" s="328" t="inlineStr">
        <is>
          <t>ＤＣ　　　Ｖ</t>
        </is>
      </c>
      <c r="N40" s="343" t="inlineStr">
        <is>
          <t>ｍＡ</t>
        </is>
      </c>
      <c r="Q40" s="343" t="inlineStr">
        <is>
          <t>個</t>
        </is>
      </c>
    </row>
    <row r="41" ht="18" customHeight="1">
      <c r="B41" s="328" t="inlineStr">
        <is>
          <t>放送設備との連動</t>
        </is>
      </c>
      <c r="I41" s="328" t="inlineStr">
        <is>
          <t>有　　　・　　　無</t>
        </is>
      </c>
    </row>
    <row r="42" ht="18" customHeight="1">
      <c r="B42" s="328" t="inlineStr">
        <is>
          <t>鳴動方式</t>
        </is>
      </c>
      <c r="I42" s="328" t="inlineStr">
        <is>
          <t>一斉鳴動　　　・　　　区分鳴動</t>
        </is>
      </c>
    </row>
    <row r="43" ht="18" customHeight="1">
      <c r="A43" s="310" t="inlineStr">
        <is>
          <t>自動火災報知設備</t>
        </is>
      </c>
      <c r="R43" s="397" t="inlineStr">
        <is>
          <t>②</t>
        </is>
      </c>
    </row>
    <row r="44" ht="18" customHeight="1">
      <c r="A44" s="353" t="inlineStr">
        <is>
          <t xml:space="preserve">　　　試　　　　　験　　　　　項　　　　　目</t>
        </is>
      </c>
      <c r="K44" s="423" t="inlineStr">
        <is>
          <t xml:space="preserve">　　種別・容量等の内容</t>
        </is>
      </c>
      <c r="R44" s="424" t="inlineStr">
        <is>
          <t>結果</t>
        </is>
      </c>
    </row>
    <row r="45" ht="18" customHeight="1">
      <c r="A45" s="361" t="inlineStr">
        <is>
          <t>外　　　　　　　　　　 観　　　　　　　　　　 試　　　　　　　　　　 験</t>
        </is>
      </c>
      <c r="B45" s="353" t="inlineStr">
        <is>
          <t>警戒区域</t>
        </is>
      </c>
      <c r="E45" s="353" t="inlineStr">
        <is>
          <t>警戒区域の設定</t>
        </is>
      </c>
      <c r="K45" s="328" t="inlineStr">
        <is>
          <t>―――――</t>
        </is>
      </c>
      <c r="R45" s="353" t="inlineStr">
        <is>
          <t>○</t>
        </is>
      </c>
    </row>
    <row r="46" ht="18" customHeight="1">
      <c r="B46" s="353" t="inlineStr">
        <is>
          <t>受信機</t>
        </is>
      </c>
      <c r="E46" s="353" t="inlineStr">
        <is>
          <t>設置
場所等</t>
        </is>
      </c>
      <c r="G46" s="353" t="inlineStr">
        <is>
          <t>設置場所</t>
        </is>
      </c>
      <c r="K46" s="328" t="inlineStr">
        <is>
          <t>１階管理人室</t>
        </is>
      </c>
      <c r="R46" s="353" t="inlineStr">
        <is>
          <t>○</t>
        </is>
      </c>
    </row>
    <row r="47" ht="18" customHeight="1">
      <c r="G47" s="425" t="inlineStr">
        <is>
          <t>周囲の状況・操作性</t>
        </is>
      </c>
      <c r="K47" s="328" t="inlineStr">
        <is>
          <t>―――――</t>
        </is>
      </c>
      <c r="R47" s="353" t="inlineStr">
        <is>
          <t>○</t>
        </is>
      </c>
    </row>
    <row r="48" ht="18" customHeight="1">
      <c r="G48" s="353" t="inlineStr">
        <is>
          <t>設置状況</t>
        </is>
      </c>
      <c r="K48" s="328" t="inlineStr">
        <is>
          <t>―――――</t>
        </is>
      </c>
      <c r="R48" s="353" t="inlineStr">
        <is>
          <t>○</t>
        </is>
      </c>
    </row>
    <row r="49" ht="18" customHeight="1">
      <c r="E49" s="353" t="inlineStr">
        <is>
          <t>構造・性能</t>
        </is>
      </c>
      <c r="K49" s="328" t="inlineStr">
        <is>
          <t>―――――</t>
        </is>
      </c>
      <c r="R49" s="353" t="inlineStr">
        <is>
          <t>○</t>
        </is>
      </c>
    </row>
    <row r="50" ht="18" customHeight="1">
      <c r="E50" s="353" t="inlineStr">
        <is>
          <t>操作部</t>
        </is>
      </c>
      <c r="K50" s="328" t="inlineStr">
        <is>
          <t>床面からの高さ　　1.40ｍ</t>
        </is>
      </c>
      <c r="R50" s="353" t="inlineStr">
        <is>
          <t>○</t>
        </is>
      </c>
    </row>
    <row r="51" ht="18" customHeight="1">
      <c r="E51" s="353" t="inlineStr">
        <is>
          <t>予備品等</t>
        </is>
      </c>
      <c r="K51" s="328" t="inlineStr">
        <is>
          <t>―――――</t>
        </is>
      </c>
      <c r="R51" s="353" t="inlineStr">
        <is>
          <t>○</t>
        </is>
      </c>
    </row>
    <row r="52" ht="18" customHeight="1">
      <c r="B52" s="353" t="inlineStr">
        <is>
          <t>中継器</t>
        </is>
      </c>
      <c r="E52" s="353" t="inlineStr">
        <is>
          <t>設置場所等</t>
        </is>
      </c>
      <c r="K52" s="328" t="inlineStr">
        <is>
          <t>―――――</t>
        </is>
      </c>
      <c r="R52" s="353" t="inlineStr">
        <is>
          <t>／</t>
        </is>
      </c>
    </row>
    <row r="53" ht="18" customHeight="1">
      <c r="E53" s="353" t="inlineStr">
        <is>
          <t>構造・性能</t>
        </is>
      </c>
      <c r="K53" s="328" t="inlineStr">
        <is>
          <t>―――――</t>
        </is>
      </c>
      <c r="R53" s="353" t="inlineStr">
        <is>
          <t>／</t>
        </is>
      </c>
    </row>
    <row r="54" ht="18" customHeight="1">
      <c r="E54" s="353" t="inlineStr">
        <is>
          <t>予備品等</t>
        </is>
      </c>
      <c r="K54" s="328" t="inlineStr">
        <is>
          <t>―――――</t>
        </is>
      </c>
      <c r="R54" s="353" t="inlineStr">
        <is>
          <t>／</t>
        </is>
      </c>
    </row>
    <row r="55" ht="18" customHeight="1">
      <c r="B55" s="426" t="inlineStr">
        <is>
          <t>電源</t>
        </is>
      </c>
      <c r="E55" s="353" t="inlineStr">
        <is>
          <t>常用電源</t>
        </is>
      </c>
      <c r="K55" s="328" t="inlineStr">
        <is>
          <t>ＡＣ 　100　Ｖ</t>
        </is>
      </c>
      <c r="R55" s="353" t="inlineStr">
        <is>
          <t>○</t>
        </is>
      </c>
    </row>
    <row r="56" ht="18" customHeight="1">
      <c r="B56" s="427" t="inlineStr">
        <is>
          <t>（電池を除く。）</t>
        </is>
      </c>
      <c r="E56" s="353" t="inlineStr">
        <is>
          <t>非常電源の種別</t>
        </is>
      </c>
      <c r="K56" s="351" t="inlineStr">
        <is>
          <t>非常電源専用受電設備　・　蓄電池設備</t>
        </is>
      </c>
      <c r="R56" s="353" t="inlineStr">
        <is>
          <t>／</t>
        </is>
      </c>
    </row>
    <row r="57" ht="18" customHeight="1">
      <c r="B57" s="361" t="inlineStr">
        <is>
          <t>感　　　　　　　 知 　　　　　　　器</t>
        </is>
      </c>
      <c r="D57" s="428" t="inlineStr">
        <is>
          <t>警 戒 状 況 ・ 設 置 状 況 ・ 構 造 ・ 性 能</t>
        </is>
      </c>
      <c r="E57" s="353" t="inlineStr">
        <is>
          <t>差動式スポット型</t>
        </is>
      </c>
      <c r="K57" s="328" t="inlineStr">
        <is>
          <t>―――――</t>
        </is>
      </c>
      <c r="R57" s="353" t="inlineStr">
        <is>
          <t>○</t>
        </is>
      </c>
    </row>
    <row r="58" ht="18" customHeight="1">
      <c r="E58" s="353" t="inlineStr">
        <is>
          <t>定温式スポット型</t>
        </is>
      </c>
      <c r="K58" s="328" t="inlineStr">
        <is>
          <t>―――――</t>
        </is>
      </c>
      <c r="R58" s="353" t="inlineStr">
        <is>
          <t>○</t>
        </is>
      </c>
    </row>
    <row r="59" ht="18" customHeight="1">
      <c r="E59" s="353" t="inlineStr">
        <is>
          <t>光電式スポット型</t>
        </is>
      </c>
      <c r="K59" s="328" t="inlineStr">
        <is>
          <t>―――――</t>
        </is>
      </c>
      <c r="R59" s="353" t="inlineStr">
        <is>
          <t>○</t>
        </is>
      </c>
    </row>
    <row r="60" ht="18" customHeight="1">
      <c r="E60" s="353" t="inlineStr">
        <is>
          <t>熱複合式スポット型</t>
        </is>
      </c>
      <c r="K60" s="328" t="inlineStr">
        <is>
          <t>―――――</t>
        </is>
      </c>
      <c r="R60" s="353" t="inlineStr">
        <is>
          <t>／</t>
        </is>
      </c>
    </row>
    <row r="61" ht="18" customHeight="1">
      <c r="E61" s="353" t="inlineStr">
        <is>
          <t>熱アナログ式スポット型</t>
        </is>
      </c>
      <c r="K61" s="328" t="inlineStr">
        <is>
          <t>―――――</t>
        </is>
      </c>
      <c r="R61" s="353" t="inlineStr">
        <is>
          <t>／</t>
        </is>
      </c>
    </row>
    <row r="62" ht="18" customHeight="1">
      <c r="E62" s="353" t="inlineStr">
        <is>
          <t>定温式感知線型</t>
        </is>
      </c>
      <c r="K62" s="328" t="inlineStr">
        <is>
          <t>―――――</t>
        </is>
      </c>
      <c r="R62" s="353" t="inlineStr">
        <is>
          <t>／</t>
        </is>
      </c>
    </row>
    <row r="63" ht="18" customHeight="1">
      <c r="E63" s="353" t="inlineStr">
        <is>
          <t>差動式分布型（空気管式）</t>
        </is>
      </c>
      <c r="K63" s="328" t="inlineStr">
        <is>
          <t>―――――</t>
        </is>
      </c>
      <c r="R63" s="353" t="inlineStr">
        <is>
          <t>／</t>
        </is>
      </c>
    </row>
    <row r="64" ht="18" customHeight="1">
      <c r="E64" s="353" t="inlineStr">
        <is>
          <t>差動式分布型（熱電対式）</t>
        </is>
      </c>
      <c r="K64" s="328" t="inlineStr">
        <is>
          <t>―――――</t>
        </is>
      </c>
      <c r="R64" s="353" t="inlineStr">
        <is>
          <t>／</t>
        </is>
      </c>
    </row>
    <row r="65" ht="18" customHeight="1">
      <c r="E65" s="353" t="inlineStr">
        <is>
          <t>差動式分布型（熱半導体式）</t>
        </is>
      </c>
      <c r="K65" s="328" t="inlineStr">
        <is>
          <t>―――――</t>
        </is>
      </c>
      <c r="R65" s="353" t="inlineStr">
        <is>
          <t>／</t>
        </is>
      </c>
    </row>
    <row r="66" ht="36.6" customHeight="1">
      <c r="E66" s="353" t="inlineStr">
        <is>
          <t xml:space="preserve">煙感知器（光電式分離型及びアナログ式を除く。）　　　　　　　</t>
        </is>
      </c>
      <c r="K66" s="328" t="inlineStr">
        <is>
          <t>―――――</t>
        </is>
      </c>
      <c r="R66" s="353" t="inlineStr">
        <is>
          <t>／</t>
        </is>
      </c>
    </row>
    <row r="67" ht="18" customHeight="1">
      <c r="E67" s="425" t="inlineStr">
        <is>
          <t>イオン化アナログ式スポット型</t>
        </is>
      </c>
      <c r="K67" s="328" t="inlineStr">
        <is>
          <t>―――――</t>
        </is>
      </c>
      <c r="R67" s="353" t="inlineStr">
        <is>
          <t>／</t>
        </is>
      </c>
    </row>
    <row r="68" ht="18" customHeight="1">
      <c r="E68" s="353" t="inlineStr">
        <is>
          <t>光電アナログ式スポット型</t>
        </is>
      </c>
      <c r="K68" s="328" t="inlineStr">
        <is>
          <t>―――――</t>
        </is>
      </c>
      <c r="R68" s="353" t="inlineStr">
        <is>
          <t>／</t>
        </is>
      </c>
    </row>
    <row r="69" ht="18" customHeight="1">
      <c r="E69" s="353" t="inlineStr">
        <is>
          <t>熱煙複合式スポット型</t>
        </is>
      </c>
      <c r="K69" s="328" t="inlineStr">
        <is>
          <t>―――――</t>
        </is>
      </c>
      <c r="R69" s="353" t="inlineStr">
        <is>
          <t>／</t>
        </is>
      </c>
    </row>
    <row r="70" ht="18" customHeight="1">
      <c r="E70" s="353" t="inlineStr">
        <is>
          <t>光電式分離型</t>
        </is>
      </c>
      <c r="K70" s="328" t="inlineStr">
        <is>
          <t>―――――</t>
        </is>
      </c>
      <c r="R70" s="353" t="inlineStr">
        <is>
          <t>／</t>
        </is>
      </c>
    </row>
    <row r="71" ht="18" customHeight="1">
      <c r="E71" s="353" t="inlineStr">
        <is>
          <t>光電アナログ式分離型</t>
        </is>
      </c>
      <c r="K71" s="328" t="inlineStr">
        <is>
          <t>―――――</t>
        </is>
      </c>
      <c r="R71" s="353" t="inlineStr">
        <is>
          <t>／</t>
        </is>
      </c>
    </row>
    <row r="72" ht="18" customHeight="1">
      <c r="E72" s="353" t="inlineStr">
        <is>
          <t>炎感知器</t>
        </is>
      </c>
      <c r="K72" s="328" t="inlineStr">
        <is>
          <t>道路の用に供される部分以外</t>
        </is>
      </c>
      <c r="R72" s="353" t="inlineStr">
        <is>
          <t>／</t>
        </is>
      </c>
    </row>
    <row r="73" ht="18" customHeight="1">
      <c r="B73" s="353" t="inlineStr">
        <is>
          <t>発信機</t>
        </is>
      </c>
      <c r="E73" s="353" t="inlineStr">
        <is>
          <t>設置場所等</t>
        </is>
      </c>
      <c r="K73" s="328" t="inlineStr">
        <is>
          <t>―――――</t>
        </is>
      </c>
      <c r="R73" s="353" t="inlineStr">
        <is>
          <t>○</t>
        </is>
      </c>
    </row>
    <row r="74" ht="18" customHeight="1">
      <c r="E74" s="353" t="inlineStr">
        <is>
          <t>構造・性能</t>
        </is>
      </c>
      <c r="K74" s="328" t="inlineStr">
        <is>
          <t>―――――</t>
        </is>
      </c>
      <c r="R74" s="353" t="inlineStr">
        <is>
          <t>○</t>
        </is>
      </c>
    </row>
    <row r="75" ht="18" customHeight="1">
      <c r="B75" s="353" t="inlineStr">
        <is>
          <t>表示灯</t>
        </is>
      </c>
      <c r="E75" s="353" t="inlineStr">
        <is>
          <t>設置場所等</t>
        </is>
      </c>
      <c r="K75" s="328" t="inlineStr">
        <is>
          <t>―――――</t>
        </is>
      </c>
      <c r="R75" s="353" t="inlineStr">
        <is>
          <t>○</t>
        </is>
      </c>
    </row>
    <row r="76" ht="18" customHeight="1">
      <c r="E76" s="353" t="inlineStr">
        <is>
          <t>構造</t>
        </is>
      </c>
      <c r="K76" s="328" t="inlineStr">
        <is>
          <t>―――――</t>
        </is>
      </c>
      <c r="R76" s="353" t="inlineStr">
        <is>
          <t>○</t>
        </is>
      </c>
    </row>
    <row r="77" ht="18" customHeight="1">
      <c r="B77" s="353" t="inlineStr">
        <is>
          <t>地区音
響装置</t>
        </is>
      </c>
      <c r="E77" s="353" t="inlineStr">
        <is>
          <t>設置場所等</t>
        </is>
      </c>
      <c r="K77" s="328" t="inlineStr">
        <is>
          <t>―――――</t>
        </is>
      </c>
      <c r="R77" s="353" t="inlineStr">
        <is>
          <t>○</t>
        </is>
      </c>
    </row>
    <row r="78" ht="18" customHeight="1">
      <c r="E78" s="353" t="inlineStr">
        <is>
          <t>構造</t>
        </is>
      </c>
      <c r="K78" s="328" t="inlineStr">
        <is>
          <t>―――――</t>
        </is>
      </c>
      <c r="R78" s="353" t="inlineStr">
        <is>
          <t>○</t>
        </is>
      </c>
    </row>
    <row r="79" ht="18" customHeight="1">
      <c r="A79" s="429" t="n"/>
      <c r="B79" s="430" t="n"/>
      <c r="C79" s="430" t="n"/>
      <c r="D79" s="430" t="n"/>
      <c r="E79" s="430" t="n"/>
      <c r="F79" s="430" t="n"/>
      <c r="G79" s="430" t="n"/>
      <c r="H79" s="430" t="n"/>
      <c r="I79" s="430" t="n"/>
      <c r="J79" s="430" t="n"/>
      <c r="K79" s="381" t="n"/>
      <c r="L79" s="381" t="n"/>
      <c r="M79" s="381" t="n"/>
      <c r="N79" s="381" t="n"/>
      <c r="O79" s="381" t="n"/>
      <c r="P79" s="381" t="n"/>
      <c r="Q79" s="381" t="n"/>
      <c r="R79" s="430" t="n"/>
    </row>
    <row r="80" ht="18" customHeight="1">
      <c r="A80" s="385" t="n"/>
    </row>
    <row r="81" ht="16.95" customHeight="1">
      <c r="A81" s="310" t="inlineStr">
        <is>
          <t>自動火災報知設備</t>
        </is>
      </c>
      <c r="R81" s="431" t="inlineStr">
        <is>
          <t>③</t>
        </is>
      </c>
    </row>
    <row r="82" ht="16.95" customHeight="1">
      <c r="A82" s="426" t="inlineStr">
        <is>
          <t xml:space="preserve">　　　試　　　　　験　　　　　項　　　　　目</t>
        </is>
      </c>
      <c r="K82" s="423" t="inlineStr">
        <is>
          <t xml:space="preserve">　　種別・容量等の内容</t>
        </is>
      </c>
      <c r="R82" s="424" t="inlineStr">
        <is>
          <t>結果</t>
        </is>
      </c>
    </row>
    <row r="83" ht="16.95" customHeight="1">
      <c r="A83" s="432" t="inlineStr">
        <is>
          <t>機能試験</t>
        </is>
      </c>
      <c r="B83" s="405" t="inlineStr">
        <is>
          <t>配　　線</t>
        </is>
      </c>
      <c r="C83" s="353" t="inlineStr">
        <is>
          <t>共通線試験</t>
        </is>
      </c>
      <c r="K83" s="328" t="inlineStr">
        <is>
          <t>―――――</t>
        </is>
      </c>
      <c r="R83" s="328" t="inlineStr">
        <is>
          <t>○</t>
        </is>
      </c>
    </row>
    <row r="84" ht="16.05" customHeight="1">
      <c r="C84" s="353" t="inlineStr">
        <is>
          <t>送り配線
試験</t>
        </is>
      </c>
      <c r="F84" s="353" t="inlineStr">
        <is>
          <t>試験回線―１</t>
        </is>
      </c>
      <c r="K84" s="328" t="inlineStr">
        <is>
          <t>―――――</t>
        </is>
      </c>
      <c r="R84" s="328" t="inlineStr">
        <is>
          <t>○</t>
        </is>
      </c>
    </row>
    <row r="85" ht="16.05" customHeight="1">
      <c r="F85" s="353" t="inlineStr">
        <is>
          <t>試験回線―２</t>
        </is>
      </c>
      <c r="K85" s="328" t="inlineStr">
        <is>
          <t>―――――</t>
        </is>
      </c>
      <c r="R85" s="328" t="inlineStr">
        <is>
          <t>○</t>
        </is>
      </c>
    </row>
    <row r="86" ht="16.05" customHeight="1">
      <c r="F86" s="353" t="inlineStr">
        <is>
          <t>試験回線―３</t>
        </is>
      </c>
      <c r="K86" s="328" t="inlineStr">
        <is>
          <t>―――――</t>
        </is>
      </c>
      <c r="R86" s="328" t="inlineStr">
        <is>
          <t>／</t>
        </is>
      </c>
    </row>
    <row r="87" ht="16.95" customHeight="1">
      <c r="B87" s="353" t="inlineStr">
        <is>
          <t>無線設備</t>
        </is>
      </c>
      <c r="F87" s="353" t="inlineStr">
        <is>
          <t>通信試験</t>
        </is>
      </c>
      <c r="K87" s="328" t="inlineStr">
        <is>
          <t>―――――</t>
        </is>
      </c>
      <c r="R87" s="328" t="inlineStr">
        <is>
          <t>／</t>
        </is>
      </c>
    </row>
    <row r="88" ht="16.05" customHeight="1">
      <c r="B88" s="361" t="inlineStr">
        <is>
          <t>受　　　　　　　信　　　　　　　機</t>
        </is>
      </c>
      <c r="C88" s="353" t="inlineStr">
        <is>
          <t>火災表示
試験</t>
        </is>
      </c>
      <c r="F88" s="353" t="inlineStr">
        <is>
          <t>火災表示状況</t>
        </is>
      </c>
      <c r="K88" s="328" t="inlineStr">
        <is>
          <t>―――――</t>
        </is>
      </c>
      <c r="R88" s="328" t="inlineStr">
        <is>
          <t>○</t>
        </is>
      </c>
    </row>
    <row r="89" ht="16.05" customHeight="1">
      <c r="F89" s="353" t="inlineStr">
        <is>
          <t>保持機能</t>
        </is>
      </c>
      <c r="K89" s="328" t="inlineStr">
        <is>
          <t>―――――</t>
        </is>
      </c>
      <c r="R89" s="328" t="inlineStr">
        <is>
          <t>○</t>
        </is>
      </c>
    </row>
    <row r="90" ht="16.05" customHeight="1">
      <c r="F90" s="353" t="inlineStr">
        <is>
          <t>２信号式の機能</t>
        </is>
      </c>
      <c r="K90" s="328" t="inlineStr">
        <is>
          <t>―――――</t>
        </is>
      </c>
      <c r="R90" s="328" t="inlineStr">
        <is>
          <t>／</t>
        </is>
      </c>
    </row>
    <row r="91" ht="16.05" customHeight="1">
      <c r="F91" s="353" t="inlineStr">
        <is>
          <t>蓄積式の機能</t>
        </is>
      </c>
      <c r="K91" s="328" t="inlineStr">
        <is>
          <t>―――――</t>
        </is>
      </c>
      <c r="R91" s="328" t="inlineStr">
        <is>
          <t>○</t>
        </is>
      </c>
    </row>
    <row r="92" ht="16.95" customHeight="1">
      <c r="C92" s="355" t="inlineStr">
        <is>
          <t>注意表示試験</t>
        </is>
      </c>
      <c r="F92" s="353" t="inlineStr">
        <is>
          <t>注意表示状況</t>
        </is>
      </c>
      <c r="K92" s="328" t="inlineStr">
        <is>
          <t>―――――</t>
        </is>
      </c>
      <c r="R92" s="328" t="inlineStr">
        <is>
          <t>／</t>
        </is>
      </c>
    </row>
    <row r="93" ht="16.95" customHeight="1">
      <c r="C93" s="425" t="inlineStr">
        <is>
          <t>設定表示温度試験</t>
        </is>
      </c>
      <c r="F93" s="353" t="inlineStr">
        <is>
          <t>設定表示温度等</t>
        </is>
      </c>
      <c r="K93" s="328" t="inlineStr">
        <is>
          <t>―――――</t>
        </is>
      </c>
      <c r="R93" s="328" t="inlineStr">
        <is>
          <t>／</t>
        </is>
      </c>
    </row>
    <row r="94" ht="16.95" customHeight="1">
      <c r="C94" s="353" t="inlineStr">
        <is>
          <t>回路導通試験</t>
        </is>
      </c>
      <c r="K94" s="328" t="inlineStr">
        <is>
          <t>―――――</t>
        </is>
      </c>
      <c r="R94" s="328" t="inlineStr">
        <is>
          <t>○</t>
        </is>
      </c>
    </row>
    <row r="95" ht="16.05" customHeight="1">
      <c r="C95" s="353" t="inlineStr">
        <is>
          <t>同時
作動試験</t>
        </is>
      </c>
      <c r="F95" s="353" t="inlineStr">
        <is>
          <t>常用電源使用時</t>
        </is>
      </c>
      <c r="K95" s="328" t="inlineStr">
        <is>
          <t>―――――</t>
        </is>
      </c>
      <c r="R95" s="328" t="inlineStr">
        <is>
          <t>○</t>
        </is>
      </c>
    </row>
    <row r="96" ht="16.05" customHeight="1">
      <c r="F96" s="353" t="inlineStr">
        <is>
          <t>予備電源使用時</t>
        </is>
      </c>
      <c r="K96" s="328" t="inlineStr">
        <is>
          <t>―――――</t>
        </is>
      </c>
      <c r="R96" s="328" t="inlineStr">
        <is>
          <t>○</t>
        </is>
      </c>
    </row>
    <row r="97" ht="16.05" customHeight="1">
      <c r="C97" s="353" t="inlineStr">
        <is>
          <t>感知器
作動試験</t>
        </is>
      </c>
      <c r="F97" s="355" t="inlineStr">
        <is>
          <t>自動試験機能を有するもの</t>
        </is>
      </c>
      <c r="K97" s="328" t="inlineStr">
        <is>
          <t>―――――</t>
        </is>
      </c>
      <c r="R97" s="328" t="inlineStr">
        <is>
          <t>〇</t>
        </is>
      </c>
    </row>
    <row r="98" ht="16.05" customHeight="1">
      <c r="F98" s="433" t="inlineStr">
        <is>
          <t>遠隔試験機能を有するもの</t>
        </is>
      </c>
      <c r="K98" s="328" t="inlineStr">
        <is>
          <t>―――――</t>
        </is>
      </c>
      <c r="R98" s="328" t="inlineStr">
        <is>
          <t>／</t>
        </is>
      </c>
    </row>
    <row r="99" ht="16.05" customHeight="1">
      <c r="C99" s="353" t="inlineStr">
        <is>
          <t>予備電源
試験</t>
        </is>
      </c>
      <c r="F99" s="353" t="inlineStr">
        <is>
          <t>電源自動切替機能</t>
        </is>
      </c>
      <c r="K99" s="328" t="inlineStr">
        <is>
          <t>―――――</t>
        </is>
      </c>
      <c r="R99" s="328" t="inlineStr">
        <is>
          <t>○</t>
        </is>
      </c>
    </row>
    <row r="100" ht="16.05" customHeight="1">
      <c r="F100" s="353" t="inlineStr">
        <is>
          <t>電　　　　　　　 圧</t>
        </is>
      </c>
      <c r="K100" s="343" t="inlineStr">
        <is>
          <t>ＤＣ ２６ Ｖ</t>
        </is>
      </c>
      <c r="R100" s="328" t="inlineStr">
        <is>
          <t>○</t>
        </is>
      </c>
    </row>
    <row r="101" ht="16.95" customHeight="1">
      <c r="C101" s="355" t="inlineStr">
        <is>
          <t>非常電源試験</t>
        </is>
      </c>
      <c r="F101" s="353" t="inlineStr">
        <is>
          <t>電源自動切替機能</t>
        </is>
      </c>
      <c r="K101" s="328" t="inlineStr">
        <is>
          <t>―――――</t>
        </is>
      </c>
      <c r="R101" s="328" t="inlineStr">
        <is>
          <t>／</t>
        </is>
      </c>
    </row>
    <row r="102" ht="16.95" customHeight="1">
      <c r="C102" s="353" t="inlineStr">
        <is>
          <t>付属装置試験</t>
        </is>
      </c>
      <c r="K102" s="328" t="inlineStr">
        <is>
          <t>―――――</t>
        </is>
      </c>
      <c r="R102" s="328" t="inlineStr">
        <is>
          <t>／</t>
        </is>
      </c>
    </row>
    <row r="103" ht="16.05" customHeight="1">
      <c r="C103" s="353" t="inlineStr">
        <is>
          <t>相互
作動試験</t>
        </is>
      </c>
      <c r="F103" s="353" t="inlineStr">
        <is>
          <t>相互通話状況</t>
        </is>
      </c>
      <c r="K103" s="328" t="inlineStr">
        <is>
          <t>―――――</t>
        </is>
      </c>
      <c r="R103" s="328" t="inlineStr">
        <is>
          <t>／</t>
        </is>
      </c>
    </row>
    <row r="104" ht="16.05" customHeight="1">
      <c r="F104" s="353" t="inlineStr">
        <is>
          <t>地区音響装置鳴動状況</t>
        </is>
      </c>
      <c r="K104" s="328" t="inlineStr">
        <is>
          <t>―――――</t>
        </is>
      </c>
      <c r="R104" s="328" t="inlineStr">
        <is>
          <t>／</t>
        </is>
      </c>
    </row>
    <row r="105" ht="16.95" customHeight="1">
      <c r="B105" s="361" t="inlineStr">
        <is>
          <t>中　継　器</t>
        </is>
      </c>
      <c r="C105" s="425" t="inlineStr">
        <is>
          <t>設定表示温度試験</t>
        </is>
      </c>
      <c r="F105" s="353" t="inlineStr">
        <is>
          <t>設定表示温度等</t>
        </is>
      </c>
      <c r="K105" s="328" t="inlineStr">
        <is>
          <t>―――――</t>
        </is>
      </c>
      <c r="R105" s="328" t="inlineStr">
        <is>
          <t>／</t>
        </is>
      </c>
    </row>
    <row r="106" ht="16.95" customHeight="1">
      <c r="C106" s="353" t="inlineStr">
        <is>
          <t>回路導通試験</t>
        </is>
      </c>
      <c r="K106" s="328" t="inlineStr">
        <is>
          <t>―――――</t>
        </is>
      </c>
      <c r="R106" s="328" t="inlineStr">
        <is>
          <t>／</t>
        </is>
      </c>
    </row>
    <row r="107" ht="16.95" customHeight="1">
      <c r="C107" s="434" t="inlineStr">
        <is>
          <t>予備電源試験
(予備電源を
有するもの)</t>
        </is>
      </c>
      <c r="F107" s="353" t="inlineStr">
        <is>
          <t>電源自動切替機能</t>
        </is>
      </c>
      <c r="K107" s="328" t="inlineStr">
        <is>
          <t>―――――</t>
        </is>
      </c>
      <c r="R107" s="328" t="inlineStr">
        <is>
          <t>／</t>
        </is>
      </c>
    </row>
    <row r="108" ht="16.95" customHeight="1">
      <c r="F108" s="353" t="inlineStr">
        <is>
          <t>電 圧</t>
        </is>
      </c>
      <c r="K108" s="343" t="inlineStr">
        <is>
          <t>Ｖ</t>
        </is>
      </c>
      <c r="R108" s="328" t="inlineStr">
        <is>
          <t>／</t>
        </is>
      </c>
    </row>
    <row r="109" ht="16.95" customHeight="1">
      <c r="B109" s="353" t="inlineStr">
        <is>
          <t>感知器</t>
        </is>
      </c>
      <c r="F109" s="353" t="inlineStr">
        <is>
          <t>作　動　試　験</t>
        </is>
      </c>
      <c r="K109" s="329" t="inlineStr">
        <is>
          <t>（その２）による</t>
        </is>
      </c>
    </row>
    <row r="110" ht="16.95" customHeight="1">
      <c r="F110" s="353" t="inlineStr">
        <is>
          <t>作動継続試験</t>
        </is>
      </c>
    </row>
    <row r="111" ht="16.95" customHeight="1">
      <c r="F111" s="353" t="inlineStr">
        <is>
          <t>流　通　試　験</t>
        </is>
      </c>
    </row>
    <row r="112" ht="16.95" customHeight="1">
      <c r="F112" s="353" t="inlineStr">
        <is>
          <t>接点水高試験</t>
        </is>
      </c>
    </row>
    <row r="113" ht="16.95" customHeight="1">
      <c r="F113" s="353" t="inlineStr">
        <is>
          <t>回路合成抵抗試験</t>
        </is>
      </c>
    </row>
    <row r="114" ht="16.95" customHeight="1">
      <c r="B114" s="353" t="inlineStr">
        <is>
          <t>発信機</t>
        </is>
      </c>
      <c r="F114" s="353" t="inlineStr">
        <is>
          <t>作　動　試　験</t>
        </is>
      </c>
      <c r="K114" s="328" t="inlineStr">
        <is>
          <t>―――――</t>
        </is>
      </c>
      <c r="R114" s="328" t="inlineStr">
        <is>
          <t>○</t>
        </is>
      </c>
    </row>
    <row r="115" ht="16.95" customHeight="1">
      <c r="B115" s="353" t="inlineStr">
        <is>
          <t>地区音響装置</t>
        </is>
      </c>
      <c r="F115" s="353" t="inlineStr">
        <is>
          <t>鳴動方式試験</t>
        </is>
      </c>
      <c r="K115" s="328" t="inlineStr">
        <is>
          <t>―――――</t>
        </is>
      </c>
      <c r="R115" s="328" t="inlineStr">
        <is>
          <t>○</t>
        </is>
      </c>
    </row>
    <row r="116" ht="16.95" customHeight="1">
      <c r="F116" s="426" t="inlineStr">
        <is>
          <t>作　動　試　験</t>
        </is>
      </c>
      <c r="K116" s="435" t="inlineStr">
        <is>
          <t>（その２）による</t>
        </is>
      </c>
      <c r="R116" s="436" t="n"/>
    </row>
    <row r="117" ht="16.95" customHeight="1">
      <c r="A117" s="334" t="inlineStr">
        <is>
          <t>備考</t>
        </is>
      </c>
      <c r="B117" s="418" t="n"/>
      <c r="C117" s="418" t="n"/>
      <c r="D117" s="418" t="n"/>
      <c r="E117" s="437" t="n"/>
      <c r="F117" s="437" t="n"/>
      <c r="G117" s="437" t="n"/>
      <c r="H117" s="437" t="n"/>
      <c r="I117" s="437" t="n"/>
      <c r="J117" s="437" t="n"/>
      <c r="K117" s="418" t="n"/>
      <c r="L117" s="437" t="n"/>
      <c r="M117" s="437" t="n"/>
      <c r="N117" s="437" t="n"/>
      <c r="O117" s="437" t="n"/>
      <c r="P117" s="437" t="n"/>
      <c r="Q117" s="437" t="n"/>
      <c r="R117" s="420" t="n"/>
    </row>
    <row r="118" ht="16.95" customHeight="1">
      <c r="B118" s="438" t="n"/>
      <c r="C118" s="438" t="n"/>
      <c r="D118" s="438" t="n"/>
      <c r="E118" s="323" t="n"/>
      <c r="F118" s="323" t="n"/>
      <c r="G118" s="323" t="n"/>
      <c r="H118" s="323" t="n"/>
      <c r="I118" s="323" t="n"/>
      <c r="J118" s="323" t="n"/>
      <c r="K118" s="438" t="n"/>
      <c r="L118" s="323" t="n"/>
      <c r="M118" s="323" t="n"/>
      <c r="N118" s="323" t="n"/>
      <c r="O118" s="323" t="n"/>
      <c r="P118" s="323" t="n"/>
      <c r="Q118" s="323" t="n"/>
      <c r="R118" s="439" t="n"/>
    </row>
    <row r="119" ht="13.95" customHeight="1">
      <c r="A119" s="103" t="inlineStr">
        <is>
          <t>備考１　この用紙の大きさは、日本産業規格Ａ４とすること。</t>
        </is>
      </c>
      <c r="D119" s="377" t="n"/>
      <c r="E119" s="377" t="n"/>
      <c r="F119" s="377" t="n"/>
      <c r="G119" s="377" t="n"/>
      <c r="H119" s="377" t="n"/>
      <c r="I119" s="377" t="n"/>
    </row>
    <row r="120" ht="13.95" customHeight="1">
      <c r="A120" s="103" t="inlineStr">
        <is>
          <t xml:space="preserve">　　２　選択肢のある欄は、該当する事項を○印で囲むこと。</t>
        </is>
      </c>
      <c r="D120" s="377" t="n"/>
      <c r="E120" s="377" t="n"/>
      <c r="F120" s="377" t="n"/>
      <c r="G120" s="377" t="n"/>
      <c r="H120" s="377" t="n"/>
      <c r="I120" s="377" t="n"/>
    </row>
    <row r="121" ht="13.95" customHeight="1">
      <c r="A121" s="103" t="inlineStr">
        <is>
          <t xml:space="preserve">　　３　非常電源（内蔵型以外のもの）及び配線についての試験結果報告書を添付すること。</t>
        </is>
      </c>
    </row>
    <row r="122" ht="13.95" customHeight="1">
      <c r="A122" s="103" t="inlineStr">
        <is>
          <t xml:space="preserve">　　４　蓄積式中継器の機能試験は、感知器の作動試験及び発信機の作動により確認するものとする。</t>
        </is>
      </c>
    </row>
    <row r="123" ht="13.95" customHeight="1">
      <c r="A123" s="103" t="inlineStr">
        <is>
          <t xml:space="preserve">　　５　複合式の感知器の試験は、それぞれの種別に応じて行うものとする。</t>
        </is>
      </c>
    </row>
    <row r="124" ht="13.95" customHeight="1">
      <c r="A124" s="103" t="inlineStr">
        <is>
          <t xml:space="preserve">　　６　総合操作盤が設けられているものにあっては、総合操作盤についての試験結果報告書を添付すること。</t>
        </is>
      </c>
    </row>
  </sheetData>
  <mergeCells count="276">
    <mergeCell ref="N33:P33"/>
    <mergeCell ref="K40:M40"/>
    <mergeCell ref="E60:J60"/>
    <mergeCell ref="B30:K30"/>
    <mergeCell ref="E69:J69"/>
    <mergeCell ref="K53:Q53"/>
    <mergeCell ref="G47:J47"/>
    <mergeCell ref="F99:J99"/>
    <mergeCell ref="B20:K20"/>
    <mergeCell ref="K9:R9"/>
    <mergeCell ref="K101:Q101"/>
    <mergeCell ref="B75:D76"/>
    <mergeCell ref="E59:J59"/>
    <mergeCell ref="G46:J46"/>
    <mergeCell ref="C19:R19"/>
    <mergeCell ref="E77:J77"/>
    <mergeCell ref="B41:H41"/>
    <mergeCell ref="K69:Q69"/>
    <mergeCell ref="A2:R2"/>
    <mergeCell ref="B35:H35"/>
    <mergeCell ref="N28:P28"/>
    <mergeCell ref="K78:Q78"/>
    <mergeCell ref="K92:Q92"/>
    <mergeCell ref="E61:J61"/>
    <mergeCell ref="F110:J110"/>
    <mergeCell ref="F85:J85"/>
    <mergeCell ref="Q26:R26"/>
    <mergeCell ref="Q35:R35"/>
    <mergeCell ref="N30:P30"/>
    <mergeCell ref="F100:J100"/>
    <mergeCell ref="C14:R14"/>
    <mergeCell ref="F109:J109"/>
    <mergeCell ref="K55:Q55"/>
    <mergeCell ref="C88:E91"/>
    <mergeCell ref="K64:Q64"/>
    <mergeCell ref="C101:E101"/>
    <mergeCell ref="K51:Q51"/>
    <mergeCell ref="B42:H42"/>
    <mergeCell ref="Q27:R27"/>
    <mergeCell ref="C17:D17"/>
    <mergeCell ref="F111:J111"/>
    <mergeCell ref="K72:Q72"/>
    <mergeCell ref="C15:H15"/>
    <mergeCell ref="Q30:R30"/>
    <mergeCell ref="E71:J71"/>
    <mergeCell ref="F92:J92"/>
    <mergeCell ref="C106:J106"/>
    <mergeCell ref="K106:Q106"/>
    <mergeCell ref="N32:P32"/>
    <mergeCell ref="K36:M36"/>
    <mergeCell ref="K96:Q96"/>
    <mergeCell ref="K56:Q56"/>
    <mergeCell ref="E16:R16"/>
    <mergeCell ref="A117:A118"/>
    <mergeCell ref="K105:Q105"/>
    <mergeCell ref="B56:D56"/>
    <mergeCell ref="B87:E87"/>
    <mergeCell ref="E73:J73"/>
    <mergeCell ref="B28:K28"/>
    <mergeCell ref="E51:J51"/>
    <mergeCell ref="B37:H37"/>
    <mergeCell ref="D57:D72"/>
    <mergeCell ref="K98:Q98"/>
    <mergeCell ref="A35:A42"/>
    <mergeCell ref="E63:J63"/>
    <mergeCell ref="K107:Q107"/>
    <mergeCell ref="F87:J87"/>
    <mergeCell ref="Q37:R37"/>
    <mergeCell ref="L21:O21"/>
    <mergeCell ref="K82:Q82"/>
    <mergeCell ref="E65:J65"/>
    <mergeCell ref="E74:J74"/>
    <mergeCell ref="F89:J89"/>
    <mergeCell ref="Q39:R39"/>
    <mergeCell ref="K66:Q66"/>
    <mergeCell ref="B114:E114"/>
    <mergeCell ref="A44:J44"/>
    <mergeCell ref="B105:B108"/>
    <mergeCell ref="C84:E86"/>
    <mergeCell ref="E49:J49"/>
    <mergeCell ref="K93:Q93"/>
    <mergeCell ref="A83:A116"/>
    <mergeCell ref="Q29:R29"/>
    <mergeCell ref="F113:J113"/>
    <mergeCell ref="A14:B17"/>
    <mergeCell ref="E45:J45"/>
    <mergeCell ref="K74:Q74"/>
    <mergeCell ref="Q38:R38"/>
    <mergeCell ref="K68:Q68"/>
    <mergeCell ref="F114:J114"/>
    <mergeCell ref="K83:Q83"/>
    <mergeCell ref="K108:Q108"/>
    <mergeCell ref="N34:P34"/>
    <mergeCell ref="A82:J82"/>
    <mergeCell ref="B77:D78"/>
    <mergeCell ref="F101:J101"/>
    <mergeCell ref="A45:A78"/>
    <mergeCell ref="Q31:R31"/>
    <mergeCell ref="C97:E98"/>
    <mergeCell ref="B31:K31"/>
    <mergeCell ref="Q40:R40"/>
    <mergeCell ref="K45:Q45"/>
    <mergeCell ref="F91:J91"/>
    <mergeCell ref="G48:J48"/>
    <mergeCell ref="B45:D45"/>
    <mergeCell ref="K54:Q54"/>
    <mergeCell ref="B83:B86"/>
    <mergeCell ref="E46:F48"/>
    <mergeCell ref="N36:P36"/>
    <mergeCell ref="K60:Q60"/>
    <mergeCell ref="B21:K21"/>
    <mergeCell ref="K100:Q100"/>
    <mergeCell ref="F115:J115"/>
    <mergeCell ref="K47:Q47"/>
    <mergeCell ref="F93:J93"/>
    <mergeCell ref="P20:R20"/>
    <mergeCell ref="K44:Q44"/>
    <mergeCell ref="I35:J35"/>
    <mergeCell ref="B23:K23"/>
    <mergeCell ref="E62:J62"/>
    <mergeCell ref="K102:Q102"/>
    <mergeCell ref="K46:Q46"/>
    <mergeCell ref="P22:R22"/>
    <mergeCell ref="C95:E96"/>
    <mergeCell ref="N37:P37"/>
    <mergeCell ref="L20:O20"/>
    <mergeCell ref="K35:M35"/>
    <mergeCell ref="C12:R12"/>
    <mergeCell ref="E64:J64"/>
    <mergeCell ref="K71:Q71"/>
    <mergeCell ref="P21:R21"/>
    <mergeCell ref="F116:J116"/>
    <mergeCell ref="L22:O22"/>
    <mergeCell ref="F103:J103"/>
    <mergeCell ref="K97:Q97"/>
    <mergeCell ref="F112:J112"/>
    <mergeCell ref="Q28:R28"/>
    <mergeCell ref="A18:B19"/>
    <mergeCell ref="K73:Q73"/>
    <mergeCell ref="P23:R23"/>
    <mergeCell ref="K65:Q65"/>
    <mergeCell ref="K57:Q57"/>
    <mergeCell ref="C107:E108"/>
    <mergeCell ref="K49:Q49"/>
    <mergeCell ref="F95:J95"/>
    <mergeCell ref="C103:E104"/>
    <mergeCell ref="F104:J104"/>
    <mergeCell ref="L18:M18"/>
    <mergeCell ref="N40:P40"/>
    <mergeCell ref="N18:O18"/>
    <mergeCell ref="I37:J37"/>
    <mergeCell ref="K39:M39"/>
    <mergeCell ref="I15:R15"/>
    <mergeCell ref="B25:K25"/>
    <mergeCell ref="E76:J76"/>
    <mergeCell ref="F97:J97"/>
    <mergeCell ref="A4:R4"/>
    <mergeCell ref="A12:B12"/>
    <mergeCell ref="B73:D74"/>
    <mergeCell ref="K114:Q114"/>
    <mergeCell ref="K38:M38"/>
    <mergeCell ref="B22:K22"/>
    <mergeCell ref="B88:B104"/>
    <mergeCell ref="E66:J66"/>
    <mergeCell ref="L13:R13"/>
    <mergeCell ref="F90:J90"/>
    <mergeCell ref="E75:J75"/>
    <mergeCell ref="E53:J53"/>
    <mergeCell ref="N27:P27"/>
    <mergeCell ref="A20:A23"/>
    <mergeCell ref="K76:Q76"/>
    <mergeCell ref="C92:E92"/>
    <mergeCell ref="K91:Q91"/>
    <mergeCell ref="E50:J50"/>
    <mergeCell ref="K85:Q85"/>
    <mergeCell ref="N35:P35"/>
    <mergeCell ref="I41:R41"/>
    <mergeCell ref="K94:Q94"/>
    <mergeCell ref="E68:J68"/>
    <mergeCell ref="K17:R17"/>
    <mergeCell ref="N25:P25"/>
    <mergeCell ref="E55:J55"/>
    <mergeCell ref="K84:Q84"/>
    <mergeCell ref="K75:Q75"/>
    <mergeCell ref="E52:J52"/>
    <mergeCell ref="E67:J67"/>
    <mergeCell ref="Q32:R32"/>
    <mergeCell ref="K59:Q59"/>
    <mergeCell ref="B29:K29"/>
    <mergeCell ref="K77:Q77"/>
    <mergeCell ref="B38:H40"/>
    <mergeCell ref="C102:J102"/>
    <mergeCell ref="K86:Q86"/>
    <mergeCell ref="B52:D54"/>
    <mergeCell ref="A6:R6"/>
    <mergeCell ref="I42:R42"/>
    <mergeCell ref="B115:E116"/>
    <mergeCell ref="Q25:R25"/>
    <mergeCell ref="K61:Q61"/>
    <mergeCell ref="C83:J83"/>
    <mergeCell ref="C93:E93"/>
    <mergeCell ref="K70:Q70"/>
    <mergeCell ref="K48:Q48"/>
    <mergeCell ref="E78:J78"/>
    <mergeCell ref="Q24:R24"/>
    <mergeCell ref="N39:P39"/>
    <mergeCell ref="F108:J108"/>
    <mergeCell ref="K116:Q116"/>
    <mergeCell ref="B24:K24"/>
    <mergeCell ref="I36:J36"/>
    <mergeCell ref="C105:E105"/>
    <mergeCell ref="J13:K13"/>
    <mergeCell ref="K103:Q103"/>
    <mergeCell ref="F84:J84"/>
    <mergeCell ref="Q33:R33"/>
    <mergeCell ref="B33:K33"/>
    <mergeCell ref="N29:P29"/>
    <mergeCell ref="A3:R3"/>
    <mergeCell ref="B36:H36"/>
    <mergeCell ref="C13:I13"/>
    <mergeCell ref="N38:P38"/>
    <mergeCell ref="K62:Q62"/>
    <mergeCell ref="B32:K32"/>
    <mergeCell ref="C16:D16"/>
    <mergeCell ref="K87:Q87"/>
    <mergeCell ref="C94:J94"/>
    <mergeCell ref="B26:K26"/>
    <mergeCell ref="F86:J86"/>
    <mergeCell ref="E70:J70"/>
    <mergeCell ref="N31:P31"/>
    <mergeCell ref="E57:J57"/>
    <mergeCell ref="A5:R5"/>
    <mergeCell ref="B55:D55"/>
    <mergeCell ref="K95:Q95"/>
    <mergeCell ref="E54:J54"/>
    <mergeCell ref="K89:Q89"/>
    <mergeCell ref="K104:Q104"/>
    <mergeCell ref="E72:J72"/>
    <mergeCell ref="Q34:R34"/>
    <mergeCell ref="N24:P24"/>
    <mergeCell ref="B46:D51"/>
    <mergeCell ref="K88:Q88"/>
    <mergeCell ref="K109:R113"/>
    <mergeCell ref="B27:K27"/>
    <mergeCell ref="K37:M37"/>
    <mergeCell ref="B109:E113"/>
    <mergeCell ref="E56:J56"/>
    <mergeCell ref="B57:C72"/>
    <mergeCell ref="E58:J58"/>
    <mergeCell ref="K63:Q63"/>
    <mergeCell ref="Q36:R36"/>
    <mergeCell ref="I39:J39"/>
    <mergeCell ref="N26:P26"/>
    <mergeCell ref="C99:E100"/>
    <mergeCell ref="F96:J96"/>
    <mergeCell ref="K90:Q90"/>
    <mergeCell ref="K50:Q50"/>
    <mergeCell ref="A24:A34"/>
    <mergeCell ref="F105:J105"/>
    <mergeCell ref="K99:Q99"/>
    <mergeCell ref="P18:Q18"/>
    <mergeCell ref="L23:O23"/>
    <mergeCell ref="I38:J38"/>
    <mergeCell ref="K58:Q58"/>
    <mergeCell ref="E17:J17"/>
    <mergeCell ref="K52:Q52"/>
    <mergeCell ref="F98:J98"/>
    <mergeCell ref="K67:Q67"/>
    <mergeCell ref="J18:K18"/>
    <mergeCell ref="A13:B13"/>
    <mergeCell ref="F107:J107"/>
    <mergeCell ref="K10:R10"/>
    <mergeCell ref="B34:K34"/>
    <mergeCell ref="K115:Q115"/>
    <mergeCell ref="I40:J40"/>
    <mergeCell ref="F88:J88"/>
  </mergeCells>
  <pageMargins left="0.5118110236220472" right="0.5118110236220472" top="0.7480314960629921" bottom="0.7480314960629921" header="0.3149606299212598" footer="0.3149606299212598"/>
  <pageSetup orientation="portrait" paperSize="9" verticalDpi="0"/>
</worksheet>
</file>

<file path=xl/worksheets/sheet11.xml><?xml version="1.0" encoding="utf-8"?>
<worksheet xmlns="http://schemas.openxmlformats.org/spreadsheetml/2006/main">
  <sheetPr>
    <tabColor theme="4"/>
    <outlinePr summaryBelow="1" summaryRight="1"/>
    <pageSetUpPr/>
  </sheetPr>
  <dimension ref="A1:T31"/>
  <sheetViews>
    <sheetView workbookViewId="0">
      <selection activeCell="A1" sqref="A1"/>
    </sheetView>
  </sheetViews>
  <sheetFormatPr baseColWidth="8" defaultRowHeight="15"/>
  <cols>
    <col width="4.69921875" customWidth="1" min="1" max="1"/>
    <col width="18.3984375" customWidth="1" min="2" max="2"/>
    <col width="5.5" customWidth="1" min="3" max="3"/>
    <col width="3" customWidth="1" min="4" max="4"/>
    <col width="5.5" customWidth="1" min="6" max="6"/>
  </cols>
  <sheetData>
    <row r="1">
      <c r="A1" s="310" t="inlineStr">
        <is>
          <t>自動火災報知設備</t>
        </is>
      </c>
      <c r="N1" s="397" t="inlineStr">
        <is>
          <t>（その２）</t>
        </is>
      </c>
    </row>
    <row r="2">
      <c r="A2" s="360" t="inlineStr">
        <is>
          <t>警　　戒　　区　　域</t>
        </is>
      </c>
      <c r="C2" s="360" t="inlineStr">
        <is>
          <t>感知器（多信号又はアナログ式以外のもの）</t>
        </is>
      </c>
      <c r="M2" s="398" t="inlineStr">
        <is>
          <t>地区音響装置</t>
        </is>
      </c>
      <c r="N2" s="398" t="inlineStr">
        <is>
          <t>結果</t>
        </is>
      </c>
    </row>
    <row r="3">
      <c r="A3" s="398" t="inlineStr">
        <is>
          <t>受信機の表示番号</t>
        </is>
      </c>
      <c r="B3" s="360" t="inlineStr">
        <is>
          <t>名称</t>
        </is>
      </c>
      <c r="C3" s="360" t="inlineStr">
        <is>
          <t>差動式</t>
        </is>
      </c>
      <c r="F3" s="398" t="inlineStr">
        <is>
          <t>補償式スポット型</t>
        </is>
      </c>
      <c r="G3" s="360" t="inlineStr">
        <is>
          <t>定温式</t>
        </is>
      </c>
      <c r="I3" s="360" t="inlineStr">
        <is>
          <t>煙感知器</t>
        </is>
      </c>
      <c r="L3" s="398" t="inlineStr">
        <is>
          <t>炎感知器</t>
        </is>
      </c>
    </row>
    <row r="4">
      <c r="C4" s="398" t="inlineStr">
        <is>
          <t>分布型</t>
        </is>
      </c>
      <c r="D4" s="398" t="inlineStr">
        <is>
          <t>スポット型</t>
        </is>
      </c>
      <c r="G4" s="398" t="inlineStr">
        <is>
          <t>スポット型</t>
        </is>
      </c>
      <c r="H4" s="398" t="inlineStr">
        <is>
          <t>感知線型</t>
        </is>
      </c>
      <c r="I4" s="428" t="inlineStr">
        <is>
          <t>イオン化式スポット型</t>
        </is>
      </c>
      <c r="J4" s="360" t="inlineStr">
        <is>
          <t>光電式</t>
        </is>
      </c>
    </row>
    <row r="5" ht="100.2" customHeight="1">
      <c r="J5" s="398" t="inlineStr">
        <is>
          <t>スポット型</t>
        </is>
      </c>
      <c r="K5" s="398" t="inlineStr">
        <is>
          <t>分離型</t>
        </is>
      </c>
    </row>
    <row r="6" ht="19.95" customHeight="1">
      <c r="A6" s="333" t="n">
        <v>1</v>
      </c>
      <c r="B6" s="440" t="inlineStr">
        <is>
          <t>1階</t>
        </is>
      </c>
      <c r="C6" s="202" t="n"/>
      <c r="D6" s="441" t="n">
        <v>2</v>
      </c>
      <c r="E6" s="442" t="n"/>
      <c r="F6" s="328" t="n"/>
      <c r="G6" s="328" t="n"/>
      <c r="H6" s="328" t="n"/>
      <c r="I6" s="328" t="n"/>
      <c r="J6" s="328" t="n">
        <v>1</v>
      </c>
      <c r="K6" s="328" t="n"/>
      <c r="L6" s="328" t="n"/>
      <c r="M6" s="328" t="n">
        <v>1</v>
      </c>
      <c r="N6" s="328" t="inlineStr">
        <is>
          <t>〇</t>
        </is>
      </c>
    </row>
    <row r="7" ht="19.95" customHeight="1">
      <c r="A7" s="333" t="n">
        <v>2</v>
      </c>
      <c r="B7" s="440" t="inlineStr">
        <is>
          <t>2階</t>
        </is>
      </c>
      <c r="C7" s="202" t="n"/>
      <c r="D7" s="441" t="n">
        <v>1</v>
      </c>
      <c r="E7" s="442" t="n"/>
      <c r="F7" s="328" t="n"/>
      <c r="G7" s="328" t="n"/>
      <c r="H7" s="328" t="n"/>
      <c r="I7" s="328" t="n"/>
      <c r="J7" s="328" t="n"/>
      <c r="K7" s="328" t="n"/>
      <c r="L7" s="328" t="n"/>
      <c r="M7" s="328" t="n">
        <v>1</v>
      </c>
      <c r="N7" s="328" t="inlineStr">
        <is>
          <t>〇</t>
        </is>
      </c>
    </row>
    <row r="8" ht="19.95" customHeight="1">
      <c r="A8" s="333" t="n">
        <v>3</v>
      </c>
      <c r="B8" s="440" t="inlineStr">
        <is>
          <t>3階</t>
        </is>
      </c>
      <c r="C8" s="202" t="n"/>
      <c r="D8" s="441" t="n">
        <v>1</v>
      </c>
      <c r="E8" s="442" t="n"/>
      <c r="F8" s="328" t="n"/>
      <c r="G8" s="328" t="n"/>
      <c r="H8" s="328" t="n"/>
      <c r="I8" s="328" t="n"/>
      <c r="J8" s="328" t="n"/>
      <c r="K8" s="328" t="n"/>
      <c r="L8" s="328" t="n"/>
      <c r="M8" s="328" t="n">
        <v>1</v>
      </c>
      <c r="N8" s="328" t="inlineStr">
        <is>
          <t>〇</t>
        </is>
      </c>
    </row>
    <row r="9" ht="19.95" customHeight="1">
      <c r="A9" s="333" t="n">
        <v>4</v>
      </c>
      <c r="B9" s="440" t="inlineStr">
        <is>
          <t>4階</t>
        </is>
      </c>
      <c r="C9" s="202" t="n"/>
      <c r="D9" s="441" t="n">
        <v>1</v>
      </c>
      <c r="E9" s="442" t="n"/>
      <c r="F9" s="328" t="n"/>
      <c r="G9" s="328" t="n"/>
      <c r="H9" s="328" t="n"/>
      <c r="I9" s="328" t="n"/>
      <c r="J9" s="328" t="n"/>
      <c r="K9" s="328" t="n"/>
      <c r="L9" s="328" t="n"/>
      <c r="M9" s="328" t="n">
        <v>1</v>
      </c>
      <c r="N9" s="328" t="inlineStr">
        <is>
          <t>〇</t>
        </is>
      </c>
    </row>
    <row r="10" ht="19.95" customHeight="1">
      <c r="A10" s="333" t="n">
        <v>5</v>
      </c>
      <c r="B10" s="440" t="inlineStr">
        <is>
          <t>5階</t>
        </is>
      </c>
      <c r="C10" s="202" t="n"/>
      <c r="D10" s="441" t="n">
        <v>1</v>
      </c>
      <c r="E10" s="442" t="n"/>
      <c r="F10" s="328" t="n"/>
      <c r="G10" s="328" t="n"/>
      <c r="H10" s="328" t="n"/>
      <c r="I10" s="328" t="n"/>
      <c r="J10" s="328" t="n"/>
      <c r="K10" s="328" t="n"/>
      <c r="L10" s="328" t="n"/>
      <c r="M10" s="328" t="n">
        <v>1</v>
      </c>
      <c r="N10" s="328" t="inlineStr">
        <is>
          <t>〇</t>
        </is>
      </c>
    </row>
    <row r="11" ht="19.95" customHeight="1">
      <c r="A11" s="333" t="n">
        <v>6</v>
      </c>
      <c r="B11" s="440" t="inlineStr">
        <is>
          <t>6階</t>
        </is>
      </c>
      <c r="C11" s="202" t="n"/>
      <c r="D11" s="441" t="n">
        <v>1</v>
      </c>
      <c r="E11" s="442" t="n"/>
      <c r="F11" s="328" t="n"/>
      <c r="G11" s="328" t="n"/>
      <c r="H11" s="328" t="n"/>
      <c r="I11" s="328" t="n"/>
      <c r="J11" s="328" t="n"/>
      <c r="K11" s="328" t="n"/>
      <c r="L11" s="328" t="n"/>
      <c r="M11" s="328" t="n">
        <v>1</v>
      </c>
      <c r="N11" s="328" t="inlineStr">
        <is>
          <t>〇</t>
        </is>
      </c>
    </row>
    <row r="12" ht="19.95" customHeight="1">
      <c r="A12" s="333" t="n">
        <v>7</v>
      </c>
      <c r="B12" s="440" t="inlineStr">
        <is>
          <t>7階</t>
        </is>
      </c>
      <c r="C12" s="202" t="n"/>
      <c r="D12" s="441" t="n">
        <v>1</v>
      </c>
      <c r="E12" s="442" t="n"/>
      <c r="F12" s="328" t="n"/>
      <c r="G12" s="328" t="n"/>
      <c r="H12" s="328" t="n"/>
      <c r="I12" s="328" t="n"/>
      <c r="J12" s="328" t="n"/>
      <c r="K12" s="328" t="n"/>
      <c r="L12" s="328" t="n"/>
      <c r="M12" s="328" t="n">
        <v>1</v>
      </c>
      <c r="N12" s="328" t="inlineStr">
        <is>
          <t>〇</t>
        </is>
      </c>
    </row>
    <row r="13" ht="19.95" customHeight="1">
      <c r="A13" s="333" t="n">
        <v>8</v>
      </c>
      <c r="B13" s="440" t="inlineStr">
        <is>
          <t>8階</t>
        </is>
      </c>
      <c r="C13" s="202" t="n"/>
      <c r="D13" s="441" t="n">
        <v>1</v>
      </c>
      <c r="E13" s="442" t="n"/>
      <c r="F13" s="328" t="n"/>
      <c r="G13" s="328" t="n"/>
      <c r="H13" s="328" t="n"/>
      <c r="I13" s="328" t="n"/>
      <c r="J13" s="328" t="n"/>
      <c r="K13" s="328" t="n"/>
      <c r="L13" s="328" t="n"/>
      <c r="M13" s="328" t="n">
        <v>1</v>
      </c>
      <c r="N13" s="328" t="inlineStr">
        <is>
          <t>〇</t>
        </is>
      </c>
    </row>
    <row r="14" ht="19.95" customHeight="1">
      <c r="A14" s="333" t="n">
        <v>9</v>
      </c>
      <c r="B14" s="440" t="inlineStr">
        <is>
          <t>9階</t>
        </is>
      </c>
      <c r="C14" s="202" t="n"/>
      <c r="D14" s="441" t="n">
        <v>1</v>
      </c>
      <c r="E14" s="442" t="n"/>
      <c r="F14" s="328" t="n"/>
      <c r="G14" s="328" t="n"/>
      <c r="H14" s="328" t="n"/>
      <c r="I14" s="328" t="n"/>
      <c r="J14" s="328" t="n"/>
      <c r="K14" s="328" t="n"/>
      <c r="L14" s="328" t="n"/>
      <c r="M14" s="328" t="n">
        <v>1</v>
      </c>
      <c r="N14" s="328" t="inlineStr">
        <is>
          <t>〇</t>
        </is>
      </c>
    </row>
    <row r="15" ht="19.95" customHeight="1">
      <c r="A15" s="333" t="n">
        <v>10</v>
      </c>
      <c r="B15" s="440" t="inlineStr">
        <is>
          <t>10階</t>
        </is>
      </c>
      <c r="C15" s="202" t="n"/>
      <c r="D15" s="441" t="n">
        <v>1</v>
      </c>
      <c r="E15" s="442" t="n"/>
      <c r="F15" s="328" t="n"/>
      <c r="G15" s="328" t="n"/>
      <c r="H15" s="328" t="n"/>
      <c r="I15" s="328" t="n"/>
      <c r="J15" s="328" t="n"/>
      <c r="K15" s="328" t="n"/>
      <c r="L15" s="328" t="n"/>
      <c r="M15" s="328" t="n">
        <v>1</v>
      </c>
      <c r="N15" s="328" t="inlineStr">
        <is>
          <t>〇</t>
        </is>
      </c>
    </row>
    <row r="16" ht="19.95" customHeight="1">
      <c r="A16" s="333" t="n">
        <v>11</v>
      </c>
      <c r="B16" s="440" t="inlineStr">
        <is>
          <t>11階</t>
        </is>
      </c>
      <c r="C16" s="202" t="n"/>
      <c r="D16" s="443" t="n">
        <v>1</v>
      </c>
      <c r="E16" s="444" t="n">
        <v>12</v>
      </c>
      <c r="F16" s="328" t="n"/>
      <c r="G16" s="445" t="n">
        <v>9</v>
      </c>
      <c r="H16" s="328" t="n"/>
      <c r="I16" s="328" t="n"/>
      <c r="J16" s="328" t="n"/>
      <c r="K16" s="328" t="n"/>
      <c r="L16" s="328" t="n"/>
      <c r="M16" s="328" t="n">
        <v>1</v>
      </c>
      <c r="N16" s="328" t="inlineStr">
        <is>
          <t>〇</t>
        </is>
      </c>
    </row>
    <row r="17" ht="19.95" customHeight="1">
      <c r="A17" s="333" t="n">
        <v>12</v>
      </c>
      <c r="B17" s="440" t="inlineStr">
        <is>
          <t>12階</t>
        </is>
      </c>
      <c r="C17" s="202" t="n"/>
      <c r="D17" s="443" t="n">
        <v>1</v>
      </c>
      <c r="E17" s="444" t="n">
        <v>12</v>
      </c>
      <c r="F17" s="328" t="n"/>
      <c r="G17" s="445" t="n">
        <v>9</v>
      </c>
      <c r="H17" s="328" t="n"/>
      <c r="I17" s="328" t="n"/>
      <c r="J17" s="328" t="n"/>
      <c r="K17" s="328" t="n"/>
      <c r="L17" s="328" t="n"/>
      <c r="M17" s="328" t="n">
        <v>1</v>
      </c>
      <c r="N17" s="328" t="inlineStr">
        <is>
          <t>〇</t>
        </is>
      </c>
    </row>
    <row r="18" ht="19.95" customHeight="1">
      <c r="A18" s="333" t="n">
        <v>13</v>
      </c>
      <c r="B18" s="440" t="inlineStr">
        <is>
          <t>13階</t>
        </is>
      </c>
      <c r="C18" s="202" t="n"/>
      <c r="D18" s="443" t="n">
        <v>1</v>
      </c>
      <c r="E18" s="444" t="n">
        <v>12</v>
      </c>
      <c r="F18" s="328" t="n"/>
      <c r="G18" s="445" t="n">
        <v>9</v>
      </c>
      <c r="H18" s="328" t="n"/>
      <c r="I18" s="328" t="n"/>
      <c r="J18" s="328" t="n"/>
      <c r="K18" s="328" t="n"/>
      <c r="L18" s="328" t="n"/>
      <c r="M18" s="328" t="n">
        <v>1</v>
      </c>
      <c r="N18" s="328" t="inlineStr">
        <is>
          <t>〇</t>
        </is>
      </c>
    </row>
    <row r="19" ht="19.95" customHeight="1">
      <c r="A19" s="333" t="n">
        <v>14</v>
      </c>
      <c r="B19" s="440" t="inlineStr">
        <is>
          <t>14階</t>
        </is>
      </c>
      <c r="C19" s="202" t="n"/>
      <c r="D19" s="443" t="n">
        <v>1</v>
      </c>
      <c r="E19" s="444" t="n">
        <v>12</v>
      </c>
      <c r="F19" s="328" t="n"/>
      <c r="G19" s="445" t="n">
        <v>9</v>
      </c>
      <c r="H19" s="328" t="n"/>
      <c r="I19" s="328" t="n"/>
      <c r="J19" s="328" t="n"/>
      <c r="K19" s="328" t="n"/>
      <c r="L19" s="328" t="n"/>
      <c r="M19" s="328" t="n">
        <v>1</v>
      </c>
      <c r="N19" s="328" t="inlineStr">
        <is>
          <t>〇</t>
        </is>
      </c>
    </row>
    <row r="20" ht="19.95" customHeight="1">
      <c r="A20" s="333" t="n">
        <v>15</v>
      </c>
      <c r="B20" s="440" t="inlineStr">
        <is>
          <t>15階</t>
        </is>
      </c>
      <c r="C20" s="202" t="n"/>
      <c r="D20" s="446" t="n">
        <v>1</v>
      </c>
      <c r="E20" s="444" t="n">
        <v>12</v>
      </c>
      <c r="F20" s="328" t="n"/>
      <c r="G20" s="445" t="n">
        <v>10</v>
      </c>
      <c r="H20" s="328" t="n"/>
      <c r="I20" s="328" t="n"/>
      <c r="J20" s="328" t="n"/>
      <c r="K20" s="328" t="n"/>
      <c r="L20" s="328" t="n"/>
      <c r="M20" s="328" t="n">
        <v>1</v>
      </c>
      <c r="N20" s="328" t="inlineStr">
        <is>
          <t>〇</t>
        </is>
      </c>
    </row>
    <row r="21" ht="19.95" customHeight="1">
      <c r="A21" s="333" t="n">
        <v>16</v>
      </c>
      <c r="B21" s="440" t="inlineStr">
        <is>
          <t>EV機械室</t>
        </is>
      </c>
      <c r="C21" s="202" t="n"/>
      <c r="D21" s="443" t="n"/>
      <c r="E21" s="442" t="n"/>
      <c r="F21" s="328" t="n"/>
      <c r="G21" s="328" t="n"/>
      <c r="H21" s="328" t="n"/>
      <c r="I21" s="328" t="n"/>
      <c r="J21" s="328" t="n">
        <v>1</v>
      </c>
      <c r="K21" s="328" t="n"/>
      <c r="L21" s="328" t="n"/>
      <c r="M21" s="328" t="n"/>
      <c r="N21" s="328" t="inlineStr">
        <is>
          <t>〇</t>
        </is>
      </c>
    </row>
    <row r="22" ht="19.95" customHeight="1">
      <c r="A22" s="333" t="n"/>
      <c r="B22" s="325" t="n"/>
      <c r="C22" s="202" t="n"/>
      <c r="D22" s="446" t="n"/>
      <c r="E22" s="447" t="n"/>
      <c r="F22" s="328" t="n"/>
      <c r="G22" s="328" t="n"/>
      <c r="H22" s="328" t="n"/>
      <c r="I22" s="328" t="n"/>
      <c r="J22" s="328" t="n"/>
      <c r="K22" s="328" t="n"/>
      <c r="L22" s="328" t="n"/>
      <c r="M22" s="328" t="n"/>
      <c r="N22" s="328" t="n"/>
    </row>
    <row r="23" ht="19.95" customHeight="1">
      <c r="A23" s="376" t="n"/>
      <c r="B23" s="448" t="inlineStr">
        <is>
          <t>※下線太字は宅内設置数</t>
        </is>
      </c>
      <c r="C23" s="202" t="n"/>
      <c r="D23" s="446" t="n"/>
      <c r="E23" s="447" t="n"/>
      <c r="F23" s="328" t="n"/>
      <c r="G23" s="328" t="n"/>
      <c r="H23" s="328" t="n"/>
      <c r="I23" s="328" t="n"/>
      <c r="J23" s="328" t="n"/>
      <c r="K23" s="328" t="n"/>
      <c r="L23" s="328" t="n"/>
      <c r="M23" s="328" t="n"/>
      <c r="N23" s="328" t="n"/>
    </row>
    <row r="24" ht="19.95" customHeight="1">
      <c r="A24" s="325" t="inlineStr">
        <is>
          <t>合　　　　　　　　計</t>
        </is>
      </c>
      <c r="C24" s="328" t="n"/>
      <c r="D24" s="394">
        <f>SUM(D6:D23)+SUM(E6:E23)</f>
        <v/>
      </c>
      <c r="F24" s="328" t="n"/>
      <c r="G24" s="445">
        <f>SUM(G6:G23)</f>
        <v/>
      </c>
      <c r="H24" s="328" t="n"/>
      <c r="I24" s="328" t="n"/>
      <c r="J24" s="328">
        <f>SUM(J6:J23)</f>
        <v/>
      </c>
      <c r="K24" s="328" t="n"/>
      <c r="L24" s="328" t="n"/>
      <c r="M24" s="328">
        <f>SUM(M6:M23)</f>
        <v/>
      </c>
      <c r="N24" s="328" t="n"/>
    </row>
    <row r="25" ht="19.95" customHeight="1">
      <c r="D25" s="449">
        <f>SUM(E6:E23)</f>
        <v/>
      </c>
    </row>
    <row r="26" ht="19.95" customHeight="1">
      <c r="A26" s="450" t="inlineStr">
        <is>
          <t>備考１　この用紙の大きさは、日本産業規格Ａ４とすること。</t>
        </is>
      </c>
    </row>
    <row r="27" ht="19.95" customHeight="1">
      <c r="A27" s="450" t="inlineStr">
        <is>
          <t xml:space="preserve">　　２　選択肢のある欄は、該当する事項を○印で囲むこと。</t>
        </is>
      </c>
    </row>
    <row r="28" ht="19.95" customHeight="1">
      <c r="A28" s="450" t="inlineStr">
        <is>
          <t xml:space="preserve">　　３　非常電源（内蔵型以外のもの）及び配線についての試験結果報告書を添付すること。</t>
        </is>
      </c>
    </row>
    <row r="29" ht="19.95" customHeight="1">
      <c r="A29" s="450" t="inlineStr">
        <is>
          <t xml:space="preserve">　　４　蓄積式中継器の機能試験は、感知器の作動試験及び発信機の作動により確認するものとする。</t>
        </is>
      </c>
    </row>
    <row r="30" ht="19.95" customHeight="1">
      <c r="A30" s="450" t="inlineStr">
        <is>
          <t xml:space="preserve">　　５　複合式の感知器の試験は、それぞれの種別に応じて行うものとする。</t>
        </is>
      </c>
    </row>
    <row r="31" ht="19.95" customHeight="1">
      <c r="A31" s="450" t="inlineStr">
        <is>
          <t xml:space="preserve">　　６　総合操作盤が設けられているものにあっては、総合操作盤についての試験結果報告書を添付すること。</t>
        </is>
      </c>
    </row>
    <row r="32" ht="19.95" customHeight="1"/>
    <row r="33" ht="19.95" customHeight="1"/>
    <row r="34" ht="19.95" customHeight="1"/>
    <row r="35" ht="19.95" customHeight="1"/>
    <row r="36" ht="19.95" customHeight="1"/>
  </sheetData>
  <mergeCells count="30">
    <mergeCell ref="D4:E5"/>
    <mergeCell ref="C4:C5"/>
    <mergeCell ref="I3:K3"/>
    <mergeCell ref="M2:M5"/>
    <mergeCell ref="L24:L25"/>
    <mergeCell ref="J24:J25"/>
    <mergeCell ref="N2:N5"/>
    <mergeCell ref="B3:B5"/>
    <mergeCell ref="G24:G25"/>
    <mergeCell ref="G3:H3"/>
    <mergeCell ref="I24:I25"/>
    <mergeCell ref="M24:M25"/>
    <mergeCell ref="J4:K4"/>
    <mergeCell ref="A2:B2"/>
    <mergeCell ref="G4:G5"/>
    <mergeCell ref="I4:I5"/>
    <mergeCell ref="C3:E3"/>
    <mergeCell ref="F3:F5"/>
    <mergeCell ref="N24:N25"/>
    <mergeCell ref="H24:H25"/>
    <mergeCell ref="A24:B25"/>
    <mergeCell ref="D25:E25"/>
    <mergeCell ref="L3:L5"/>
    <mergeCell ref="D24:E24"/>
    <mergeCell ref="H4:H5"/>
    <mergeCell ref="A3:A5"/>
    <mergeCell ref="K24:K25"/>
    <mergeCell ref="C24:C25"/>
    <mergeCell ref="C2:L2"/>
    <mergeCell ref="F24:F25"/>
  </mergeCells>
  <pageMargins left="0.5118110236220472" right="0.5118110236220472" top="0.7480314960629921" bottom="0.7480314960629921" header="0.3149606299212598" footer="0.3149606299212598"/>
  <pageSetup orientation="portrait" paperSize="9" verticalDpi="0"/>
</worksheet>
</file>

<file path=xl/worksheets/sheet12.xml><?xml version="1.0" encoding="utf-8"?>
<worksheet xmlns="http://schemas.openxmlformats.org/spreadsheetml/2006/main">
  <sheetPr>
    <outlinePr summaryBelow="1" summaryRight="1"/>
    <pageSetUpPr/>
  </sheetPr>
  <dimension ref="A1:W39"/>
  <sheetViews>
    <sheetView workbookViewId="0">
      <selection activeCell="A1" sqref="A1"/>
    </sheetView>
  </sheetViews>
  <sheetFormatPr baseColWidth="8" defaultRowHeight="15"/>
  <cols>
    <col width="3.69921875" customWidth="1" min="1" max="1"/>
    <col width="20.59765625" customWidth="1" min="2" max="2"/>
    <col width="3.69921875" customWidth="1" min="3" max="3"/>
    <col width="5.69921875" customWidth="1" min="17" max="17"/>
    <col width="5.3984375" customWidth="1" min="19" max="19"/>
    <col width="6.796875" customWidth="1" min="20" max="20"/>
  </cols>
  <sheetData>
    <row r="1" ht="18" customHeight="1">
      <c r="A1" s="451" t="inlineStr">
        <is>
          <t>共同住宅用自動火災報知設備</t>
        </is>
      </c>
      <c r="B1" s="451" t="n"/>
      <c r="C1" s="451" t="n"/>
      <c r="D1" s="451" t="n"/>
      <c r="E1" s="451" t="n"/>
      <c r="F1" s="451" t="n"/>
      <c r="G1" s="451" t="n"/>
      <c r="H1" s="451" t="n"/>
      <c r="I1" s="451" t="n"/>
      <c r="J1" s="451" t="n"/>
      <c r="K1" s="451" t="n"/>
      <c r="L1" s="451" t="n"/>
      <c r="M1" s="451" t="n"/>
      <c r="N1" s="451" t="n"/>
      <c r="O1" s="451" t="n"/>
      <c r="P1" s="451" t="n"/>
      <c r="Q1" s="452" t="inlineStr">
        <is>
          <t>④</t>
        </is>
      </c>
      <c r="R1" s="451" t="n"/>
      <c r="S1" s="451" t="n"/>
      <c r="T1" s="451" t="n"/>
    </row>
    <row r="2" ht="18" customHeight="1">
      <c r="B2" s="451" t="n"/>
      <c r="C2" s="451" t="n"/>
      <c r="D2" s="451" t="n"/>
      <c r="E2" s="451" t="n"/>
      <c r="F2" s="451" t="n"/>
      <c r="G2" s="451" t="n"/>
      <c r="H2" s="451" t="n"/>
      <c r="I2" s="451" t="n"/>
      <c r="J2" s="451" t="n"/>
      <c r="K2" s="451" t="n"/>
      <c r="L2" s="451" t="n"/>
      <c r="M2" s="451" t="n"/>
      <c r="N2" s="451" t="n"/>
      <c r="O2" s="451" t="n"/>
      <c r="P2" s="451" t="n"/>
      <c r="Q2" s="452" t="inlineStr">
        <is>
          <t>共用部　その1</t>
        </is>
      </c>
      <c r="R2" s="453" t="n"/>
      <c r="S2" s="451" t="n"/>
      <c r="T2" s="451" t="n"/>
      <c r="U2" s="451" t="n"/>
    </row>
    <row r="3" ht="22.05" customHeight="1">
      <c r="A3" s="454" t="inlineStr">
        <is>
          <t>警戒区域又は住戸等</t>
        </is>
      </c>
      <c r="C3" s="455" t="inlineStr">
        <is>
          <t>住戸用受信機</t>
        </is>
      </c>
      <c r="D3" s="456" t="inlineStr">
        <is>
          <t>感知器</t>
        </is>
      </c>
      <c r="M3" s="457" t="inlineStr">
        <is>
          <t>音声警報装置</t>
        </is>
      </c>
      <c r="N3" s="455" t="inlineStr">
        <is>
          <t>戸外表示器</t>
        </is>
      </c>
      <c r="O3" s="454" t="inlineStr">
        <is>
          <t>結果</t>
        </is>
      </c>
      <c r="Q3" s="454" t="inlineStr">
        <is>
          <t>備考</t>
        </is>
      </c>
      <c r="S3" s="458" t="n"/>
    </row>
    <row r="4" ht="140.4" customHeight="1">
      <c r="A4" s="459" t="inlineStr">
        <is>
          <t>住棟受信機の表示番号</t>
        </is>
      </c>
      <c r="B4" s="460" t="inlineStr">
        <is>
          <t>名称等</t>
        </is>
      </c>
      <c r="D4" s="455" t="inlineStr">
        <is>
          <t>差動式スポット型</t>
        </is>
      </c>
      <c r="E4" s="455" t="inlineStr">
        <is>
          <t>定温式スポット型</t>
        </is>
      </c>
      <c r="F4" s="455" t="inlineStr">
        <is>
          <t>補償式スポット型</t>
        </is>
      </c>
      <c r="G4" s="455" t="inlineStr">
        <is>
          <t>熱アナログ式スポット型</t>
        </is>
      </c>
      <c r="H4" s="455" t="inlineStr">
        <is>
          <t>光電式スポット型</t>
        </is>
      </c>
      <c r="I4" s="455" t="inlineStr">
        <is>
          <t>光電アナログ式スポット型</t>
        </is>
      </c>
      <c r="J4" s="457" t="inlineStr">
        <is>
          <t>イオン化式スポット型</t>
        </is>
      </c>
      <c r="K4" s="461" t="inlineStr">
        <is>
          <t>イオン化アナログ式スポット型</t>
        </is>
      </c>
      <c r="L4" s="455" t="inlineStr">
        <is>
          <t>炎感知器</t>
        </is>
      </c>
      <c r="O4" s="455" t="inlineStr">
        <is>
          <t>外観試験</t>
        </is>
      </c>
      <c r="P4" s="455" t="inlineStr">
        <is>
          <t>機能試験</t>
        </is>
      </c>
    </row>
    <row r="5" ht="15" customHeight="1">
      <c r="A5" s="462" t="n">
        <v>1</v>
      </c>
      <c r="B5" s="463" t="inlineStr">
        <is>
          <t>1階</t>
        </is>
      </c>
      <c r="C5" s="462" t="n"/>
      <c r="D5" s="462" t="n">
        <v>8</v>
      </c>
      <c r="E5" s="462" t="n">
        <v>11</v>
      </c>
      <c r="F5" s="462" t="n"/>
      <c r="G5" s="462" t="n"/>
      <c r="H5" s="462" t="n"/>
      <c r="I5" s="462" t="n"/>
      <c r="J5" s="462" t="n"/>
      <c r="K5" s="462" t="n"/>
      <c r="L5" s="462" t="n"/>
      <c r="M5" s="462" t="n"/>
      <c r="N5" s="462" t="n"/>
      <c r="O5" s="328">
        <f>IF(COUNTA(C5:N5)=0,"","〇")</f>
        <v/>
      </c>
      <c r="P5" s="328">
        <f>IF(COUNTA(C5:N5)=0,"","〇")</f>
        <v/>
      </c>
      <c r="Q5" s="462" t="n"/>
    </row>
    <row r="6" ht="15" customHeight="1">
      <c r="A6" s="462" t="n">
        <v>2</v>
      </c>
      <c r="B6" s="463" t="inlineStr">
        <is>
          <t>エレベーター</t>
        </is>
      </c>
      <c r="C6" s="462" t="n"/>
      <c r="D6" s="462" t="n"/>
      <c r="E6" s="462" t="n"/>
      <c r="F6" s="462" t="n"/>
      <c r="G6" s="462" t="n"/>
      <c r="H6" s="462" t="n">
        <v>1</v>
      </c>
      <c r="I6" s="462" t="n"/>
      <c r="J6" s="462" t="n"/>
      <c r="K6" s="462" t="n"/>
      <c r="L6" s="462" t="n"/>
      <c r="M6" s="462" t="n"/>
      <c r="N6" s="462" t="n"/>
      <c r="O6" s="328">
        <f>IF(COUNTA(C6:N6)=0,"","〇")</f>
        <v/>
      </c>
      <c r="P6" s="328">
        <f>IF(COUNTA(C6:N6)=0,"","〇")</f>
        <v/>
      </c>
      <c r="Q6" s="462" t="n"/>
    </row>
    <row r="7" ht="15" customHeight="1">
      <c r="A7" s="462" t="n"/>
      <c r="B7" s="463" t="n"/>
      <c r="C7" s="462" t="n"/>
      <c r="D7" s="462" t="n"/>
      <c r="E7" s="462" t="n"/>
      <c r="F7" s="462" t="n"/>
      <c r="G7" s="462" t="n"/>
      <c r="H7" s="462" t="n"/>
      <c r="I7" s="462" t="n"/>
      <c r="J7" s="462" t="n"/>
      <c r="K7" s="462" t="n"/>
      <c r="L7" s="462" t="n"/>
      <c r="M7" s="462" t="n"/>
      <c r="N7" s="462" t="n"/>
      <c r="O7" s="328">
        <f>IF(COUNTA(C7:N7)=0,"","〇")</f>
        <v/>
      </c>
      <c r="P7" s="328">
        <f>IF(COUNTA(C7:N7)=0,"","〇")</f>
        <v/>
      </c>
      <c r="Q7" s="462" t="n"/>
    </row>
    <row r="8" ht="15" customHeight="1">
      <c r="A8" s="462" t="n"/>
      <c r="B8" s="463" t="n"/>
      <c r="C8" s="462" t="n"/>
      <c r="D8" s="462" t="n"/>
      <c r="E8" s="462" t="n"/>
      <c r="F8" s="462" t="n"/>
      <c r="G8" s="462" t="n"/>
      <c r="H8" s="462" t="n"/>
      <c r="I8" s="462" t="n"/>
      <c r="J8" s="462" t="n"/>
      <c r="K8" s="462" t="n"/>
      <c r="L8" s="462" t="n"/>
      <c r="M8" s="462" t="n"/>
      <c r="N8" s="462" t="n"/>
      <c r="O8" s="328">
        <f>IF(COUNTA(C8:N8)=0,"","〇")</f>
        <v/>
      </c>
      <c r="P8" s="328">
        <f>IF(COUNTA(C8:N8)=0,"","〇")</f>
        <v/>
      </c>
      <c r="Q8" s="462" t="n"/>
    </row>
    <row r="9" ht="15" customHeight="1">
      <c r="A9" s="462" t="n"/>
      <c r="B9" s="463" t="n"/>
      <c r="C9" s="462" t="n"/>
      <c r="D9" s="462" t="n"/>
      <c r="E9" s="462" t="n"/>
      <c r="F9" s="462" t="n"/>
      <c r="G9" s="462" t="n"/>
      <c r="H9" s="462" t="n"/>
      <c r="I9" s="462" t="n"/>
      <c r="J9" s="462" t="n"/>
      <c r="K9" s="462" t="n"/>
      <c r="L9" s="462" t="n"/>
      <c r="M9" s="462" t="n"/>
      <c r="N9" s="462" t="n"/>
      <c r="O9" s="328">
        <f>IF(COUNTA(C9:N9)=0,"","〇")</f>
        <v/>
      </c>
      <c r="P9" s="328">
        <f>IF(COUNTA(C9:N9)=0,"","〇")</f>
        <v/>
      </c>
      <c r="Q9" s="462" t="n"/>
    </row>
    <row r="10" ht="15" customHeight="1">
      <c r="A10" s="462" t="n"/>
      <c r="B10" s="463" t="n"/>
      <c r="C10" s="462" t="n"/>
      <c r="D10" s="462" t="n"/>
      <c r="E10" s="462" t="n"/>
      <c r="F10" s="462" t="n"/>
      <c r="G10" s="462" t="n"/>
      <c r="H10" s="462" t="n"/>
      <c r="I10" s="462" t="n"/>
      <c r="J10" s="462" t="n"/>
      <c r="K10" s="462" t="n"/>
      <c r="L10" s="462" t="n"/>
      <c r="M10" s="462" t="n"/>
      <c r="N10" s="462" t="n"/>
      <c r="O10" s="328">
        <f>IF(COUNTA(C10:N10)=0,"","〇")</f>
        <v/>
      </c>
      <c r="P10" s="328">
        <f>IF(COUNTA(C10:N10)=0,"","〇")</f>
        <v/>
      </c>
      <c r="Q10" s="462" t="n"/>
    </row>
    <row r="11" ht="15" customHeight="1">
      <c r="A11" s="462" t="n"/>
      <c r="B11" s="463" t="n"/>
      <c r="C11" s="462" t="n"/>
      <c r="D11" s="462" t="n"/>
      <c r="E11" s="462" t="n"/>
      <c r="F11" s="462" t="n"/>
      <c r="G11" s="462" t="n"/>
      <c r="H11" s="462" t="n"/>
      <c r="I11" s="462" t="n"/>
      <c r="J11" s="462" t="n"/>
      <c r="K11" s="462" t="n"/>
      <c r="L11" s="462" t="n"/>
      <c r="M11" s="462" t="n"/>
      <c r="N11" s="462" t="n"/>
      <c r="O11" s="328">
        <f>IF(COUNTA(C11:N11)=0,"","〇")</f>
        <v/>
      </c>
      <c r="P11" s="328">
        <f>IF(COUNTA(C11:N11)=0,"","〇")</f>
        <v/>
      </c>
      <c r="Q11" s="462" t="n"/>
    </row>
    <row r="12" ht="15" customHeight="1">
      <c r="A12" s="462" t="n"/>
      <c r="B12" s="463" t="n"/>
      <c r="C12" s="462" t="n"/>
      <c r="D12" s="462" t="n"/>
      <c r="E12" s="462" t="n"/>
      <c r="F12" s="462" t="n"/>
      <c r="G12" s="462" t="n"/>
      <c r="H12" s="462" t="n"/>
      <c r="I12" s="462" t="n"/>
      <c r="J12" s="462" t="n"/>
      <c r="K12" s="462" t="n"/>
      <c r="L12" s="462" t="n"/>
      <c r="M12" s="462" t="n"/>
      <c r="N12" s="462" t="n"/>
      <c r="O12" s="328">
        <f>IF(COUNTA(C12:N12)=0,"","〇")</f>
        <v/>
      </c>
      <c r="P12" s="328">
        <f>IF(COUNTA(C12:N12)=0,"","〇")</f>
        <v/>
      </c>
      <c r="Q12" s="462" t="n"/>
    </row>
    <row r="13" ht="15" customHeight="1">
      <c r="A13" s="462" t="n"/>
      <c r="B13" s="463" t="n"/>
      <c r="C13" s="462" t="n"/>
      <c r="D13" s="462" t="n"/>
      <c r="E13" s="462" t="n"/>
      <c r="F13" s="462" t="n"/>
      <c r="G13" s="462" t="n"/>
      <c r="H13" s="462" t="n"/>
      <c r="I13" s="462" t="n"/>
      <c r="J13" s="462" t="n"/>
      <c r="K13" s="462" t="n"/>
      <c r="L13" s="462" t="n"/>
      <c r="M13" s="462" t="n"/>
      <c r="N13" s="462" t="n"/>
      <c r="O13" s="328">
        <f>IF(COUNTA(C13:N13)=0,"","〇")</f>
        <v/>
      </c>
      <c r="P13" s="328">
        <f>IF(COUNTA(C13:N13)=0,"","〇")</f>
        <v/>
      </c>
      <c r="Q13" s="462" t="n"/>
    </row>
    <row r="14" ht="15" customHeight="1">
      <c r="A14" s="462" t="n"/>
      <c r="B14" s="463" t="n"/>
      <c r="C14" s="462" t="n"/>
      <c r="D14" s="462" t="n"/>
      <c r="E14" s="462" t="n"/>
      <c r="F14" s="462" t="n"/>
      <c r="G14" s="462" t="n"/>
      <c r="H14" s="462" t="n"/>
      <c r="I14" s="462" t="n"/>
      <c r="J14" s="462" t="n"/>
      <c r="K14" s="462" t="n"/>
      <c r="L14" s="462" t="n"/>
      <c r="M14" s="462" t="n"/>
      <c r="N14" s="462" t="n"/>
      <c r="O14" s="328">
        <f>IF(COUNTA(C14:N14)=0,"","〇")</f>
        <v/>
      </c>
      <c r="P14" s="328">
        <f>IF(COUNTA(C14:N14)=0,"","〇")</f>
        <v/>
      </c>
      <c r="Q14" s="462" t="n"/>
    </row>
    <row r="15" ht="15" customHeight="1">
      <c r="A15" s="462" t="n"/>
      <c r="B15" s="463" t="n"/>
      <c r="C15" s="462" t="n"/>
      <c r="D15" s="462" t="n"/>
      <c r="E15" s="462" t="n"/>
      <c r="F15" s="462" t="n"/>
      <c r="G15" s="462" t="n"/>
      <c r="H15" s="462" t="n"/>
      <c r="I15" s="462" t="n"/>
      <c r="J15" s="462" t="n"/>
      <c r="K15" s="462" t="n"/>
      <c r="L15" s="462" t="n"/>
      <c r="M15" s="462" t="n"/>
      <c r="N15" s="462" t="n"/>
      <c r="O15" s="328">
        <f>IF(COUNTA(C15:N15)=0,"","〇")</f>
        <v/>
      </c>
      <c r="P15" s="328">
        <f>IF(COUNTA(C15:N15)=0,"","〇")</f>
        <v/>
      </c>
      <c r="Q15" s="462" t="n"/>
    </row>
    <row r="16" ht="15" customHeight="1">
      <c r="A16" s="462" t="n"/>
      <c r="B16" s="463" t="n"/>
      <c r="C16" s="462" t="n"/>
      <c r="D16" s="462" t="n"/>
      <c r="E16" s="462" t="n"/>
      <c r="F16" s="462" t="n"/>
      <c r="G16" s="462" t="n"/>
      <c r="H16" s="462" t="n"/>
      <c r="I16" s="462" t="n"/>
      <c r="J16" s="462" t="n"/>
      <c r="K16" s="462" t="n"/>
      <c r="L16" s="462" t="n"/>
      <c r="M16" s="462" t="n"/>
      <c r="N16" s="462" t="n"/>
      <c r="O16" s="328">
        <f>IF(COUNTA(C16:N16)=0,"","〇")</f>
        <v/>
      </c>
      <c r="P16" s="328">
        <f>IF(COUNTA(C16:N16)=0,"","〇")</f>
        <v/>
      </c>
      <c r="Q16" s="462" t="n"/>
    </row>
    <row r="17" ht="15" customHeight="1">
      <c r="A17" s="462" t="n"/>
      <c r="B17" s="463" t="n"/>
      <c r="C17" s="462" t="n"/>
      <c r="D17" s="462" t="n"/>
      <c r="E17" s="462" t="n"/>
      <c r="F17" s="462" t="n"/>
      <c r="G17" s="462" t="n"/>
      <c r="H17" s="462" t="n"/>
      <c r="I17" s="462" t="n"/>
      <c r="J17" s="462" t="n"/>
      <c r="K17" s="462" t="n"/>
      <c r="L17" s="462" t="n"/>
      <c r="M17" s="462" t="n"/>
      <c r="N17" s="462" t="n"/>
      <c r="O17" s="328">
        <f>IF(COUNTA(C17:N17)=0,"","〇")</f>
        <v/>
      </c>
      <c r="P17" s="328">
        <f>IF(COUNTA(C17:N17)=0,"","〇")</f>
        <v/>
      </c>
      <c r="Q17" s="462" t="n"/>
    </row>
    <row r="18" ht="15" customHeight="1">
      <c r="A18" s="462" t="n"/>
      <c r="B18" s="463" t="n"/>
      <c r="C18" s="462" t="n"/>
      <c r="D18" s="462" t="n"/>
      <c r="E18" s="462" t="n"/>
      <c r="F18" s="462" t="n"/>
      <c r="G18" s="462" t="n"/>
      <c r="H18" s="462" t="n"/>
      <c r="I18" s="462" t="n"/>
      <c r="J18" s="462" t="n"/>
      <c r="K18" s="462" t="n"/>
      <c r="L18" s="462" t="n"/>
      <c r="M18" s="462" t="n"/>
      <c r="N18" s="462" t="n"/>
      <c r="O18" s="328">
        <f>IF(COUNTA(C18:N18)=0,"","〇")</f>
        <v/>
      </c>
      <c r="P18" s="328">
        <f>IF(COUNTA(C18:N18)=0,"","〇")</f>
        <v/>
      </c>
      <c r="Q18" s="462" t="n"/>
    </row>
    <row r="19" ht="15" customHeight="1">
      <c r="A19" s="462" t="n"/>
      <c r="B19" s="463" t="n"/>
      <c r="C19" s="462" t="n"/>
      <c r="D19" s="462" t="n"/>
      <c r="E19" s="462" t="n"/>
      <c r="F19" s="462" t="n"/>
      <c r="G19" s="462" t="n"/>
      <c r="H19" s="462" t="n"/>
      <c r="I19" s="462" t="n"/>
      <c r="J19" s="462" t="n"/>
      <c r="K19" s="462" t="n"/>
      <c r="L19" s="462" t="n"/>
      <c r="M19" s="462" t="n"/>
      <c r="N19" s="462" t="n"/>
      <c r="O19" s="328">
        <f>IF(COUNTA(C19:N19)=0,"","〇")</f>
        <v/>
      </c>
      <c r="P19" s="328">
        <f>IF(COUNTA(C19:N19)=0,"","〇")</f>
        <v/>
      </c>
      <c r="Q19" s="462" t="n"/>
    </row>
    <row r="20" ht="15" customHeight="1">
      <c r="A20" s="462" t="n"/>
      <c r="B20" s="463" t="n"/>
      <c r="C20" s="462" t="n"/>
      <c r="D20" s="462" t="n"/>
      <c r="E20" s="462" t="n"/>
      <c r="F20" s="462" t="n"/>
      <c r="G20" s="462" t="n"/>
      <c r="H20" s="462" t="n"/>
      <c r="I20" s="462" t="n"/>
      <c r="J20" s="462" t="n"/>
      <c r="K20" s="462" t="n"/>
      <c r="L20" s="462" t="n"/>
      <c r="M20" s="462" t="n"/>
      <c r="N20" s="462" t="n"/>
      <c r="O20" s="328">
        <f>IF(COUNTA(C20:N20)=0,"","〇")</f>
        <v/>
      </c>
      <c r="P20" s="328">
        <f>IF(COUNTA(C20:N20)=0,"","〇")</f>
        <v/>
      </c>
      <c r="Q20" s="462" t="n"/>
    </row>
    <row r="21" ht="15" customHeight="1">
      <c r="A21" s="462" t="n"/>
      <c r="B21" s="463" t="n"/>
      <c r="C21" s="462" t="n"/>
      <c r="D21" s="462" t="n"/>
      <c r="E21" s="462" t="n"/>
      <c r="F21" s="462" t="n"/>
      <c r="G21" s="462" t="n"/>
      <c r="H21" s="462" t="n"/>
      <c r="I21" s="462" t="n"/>
      <c r="J21" s="462" t="n"/>
      <c r="K21" s="462" t="n"/>
      <c r="L21" s="462" t="n"/>
      <c r="M21" s="462" t="n"/>
      <c r="N21" s="462" t="n"/>
      <c r="O21" s="328">
        <f>IF(COUNTA(C21:N21)=0,"","〇")</f>
        <v/>
      </c>
      <c r="P21" s="328">
        <f>IF(COUNTA(C21:N21)=0,"","〇")</f>
        <v/>
      </c>
      <c r="Q21" s="462" t="n"/>
    </row>
    <row r="22" ht="15" customHeight="1">
      <c r="A22" s="462" t="n"/>
      <c r="B22" s="463" t="n"/>
      <c r="C22" s="462" t="n"/>
      <c r="D22" s="462" t="n"/>
      <c r="E22" s="462" t="n"/>
      <c r="F22" s="462" t="n"/>
      <c r="G22" s="462" t="n"/>
      <c r="H22" s="462" t="n"/>
      <c r="I22" s="462" t="n"/>
      <c r="J22" s="462" t="n"/>
      <c r="K22" s="462" t="n"/>
      <c r="L22" s="462" t="n"/>
      <c r="M22" s="462" t="n"/>
      <c r="N22" s="462" t="n"/>
      <c r="O22" s="328">
        <f>IF(COUNTA(C22:N22)=0,"","〇")</f>
        <v/>
      </c>
      <c r="P22" s="328">
        <f>IF(COUNTA(C22:N22)=0,"","〇")</f>
        <v/>
      </c>
      <c r="Q22" s="462" t="n"/>
    </row>
    <row r="23" ht="15" customHeight="1">
      <c r="A23" s="462" t="n"/>
      <c r="B23" s="463" t="n"/>
      <c r="C23" s="462" t="n"/>
      <c r="D23" s="462" t="n"/>
      <c r="E23" s="462" t="n"/>
      <c r="F23" s="462" t="n"/>
      <c r="G23" s="462" t="n"/>
      <c r="H23" s="462" t="n"/>
      <c r="I23" s="462" t="n"/>
      <c r="J23" s="462" t="n"/>
      <c r="K23" s="462" t="n"/>
      <c r="L23" s="462" t="n"/>
      <c r="M23" s="462" t="n"/>
      <c r="N23" s="462" t="n"/>
      <c r="O23" s="328">
        <f>IF(COUNTA(C23:N23)=0,"","〇")</f>
        <v/>
      </c>
      <c r="P23" s="328">
        <f>IF(COUNTA(C23:N23)=0,"","〇")</f>
        <v/>
      </c>
      <c r="Q23" s="462" t="n"/>
    </row>
    <row r="24" ht="15" customHeight="1">
      <c r="A24" s="462" t="n"/>
      <c r="B24" s="463" t="n"/>
      <c r="C24" s="462" t="n"/>
      <c r="D24" s="462" t="n"/>
      <c r="E24" s="462" t="n"/>
      <c r="F24" s="462" t="n"/>
      <c r="G24" s="462" t="n"/>
      <c r="H24" s="462" t="n"/>
      <c r="I24" s="462" t="n"/>
      <c r="J24" s="462" t="n"/>
      <c r="K24" s="462" t="n"/>
      <c r="L24" s="462" t="n"/>
      <c r="M24" s="462" t="n"/>
      <c r="N24" s="462" t="n"/>
      <c r="O24" s="328">
        <f>IF(COUNTA(C24:N24)=0,"","〇")</f>
        <v/>
      </c>
      <c r="P24" s="328">
        <f>IF(COUNTA(C24:N24)=0,"","〇")</f>
        <v/>
      </c>
      <c r="Q24" s="462" t="n"/>
    </row>
    <row r="25" ht="15" customHeight="1">
      <c r="A25" s="462" t="n"/>
      <c r="B25" s="463" t="n"/>
      <c r="C25" s="462" t="n"/>
      <c r="D25" s="462" t="n"/>
      <c r="E25" s="462" t="n"/>
      <c r="F25" s="462" t="n"/>
      <c r="G25" s="462" t="n"/>
      <c r="H25" s="462" t="n"/>
      <c r="I25" s="462" t="n"/>
      <c r="J25" s="462" t="n"/>
      <c r="K25" s="462" t="n"/>
      <c r="L25" s="462" t="n"/>
      <c r="M25" s="462" t="n"/>
      <c r="N25" s="462" t="n"/>
      <c r="O25" s="328">
        <f>IF(COUNTA(C25:N25)=0,"","〇")</f>
        <v/>
      </c>
      <c r="P25" s="328">
        <f>IF(COUNTA(C25:N25)=0,"","〇")</f>
        <v/>
      </c>
      <c r="Q25" s="462" t="n"/>
    </row>
    <row r="26" ht="15" customHeight="1">
      <c r="A26" s="462" t="n"/>
      <c r="B26" s="463" t="n"/>
      <c r="C26" s="462" t="n"/>
      <c r="D26" s="462" t="n"/>
      <c r="E26" s="462" t="n"/>
      <c r="F26" s="462" t="n"/>
      <c r="G26" s="462" t="n"/>
      <c r="H26" s="462" t="n"/>
      <c r="I26" s="462" t="n"/>
      <c r="J26" s="462" t="n"/>
      <c r="K26" s="462" t="n"/>
      <c r="L26" s="462" t="n"/>
      <c r="M26" s="462" t="n"/>
      <c r="N26" s="462" t="n"/>
      <c r="O26" s="328">
        <f>IF(COUNTA(C26:N26)=0,"","〇")</f>
        <v/>
      </c>
      <c r="P26" s="328">
        <f>IF(COUNTA(C26:N26)=0,"","〇")</f>
        <v/>
      </c>
      <c r="Q26" s="462" t="n"/>
    </row>
    <row r="27" ht="15" customHeight="1">
      <c r="A27" s="462" t="n"/>
      <c r="B27" s="463" t="n"/>
      <c r="C27" s="462" t="n"/>
      <c r="D27" s="462" t="n"/>
      <c r="E27" s="462" t="n"/>
      <c r="F27" s="462" t="n"/>
      <c r="G27" s="462" t="n"/>
      <c r="H27" s="462" t="n"/>
      <c r="I27" s="462" t="n"/>
      <c r="J27" s="462" t="n"/>
      <c r="K27" s="462" t="n"/>
      <c r="L27" s="462" t="n"/>
      <c r="M27" s="462" t="n"/>
      <c r="N27" s="462" t="n"/>
      <c r="O27" s="328">
        <f>IF(COUNTA(C27:N27)=0,"","〇")</f>
        <v/>
      </c>
      <c r="P27" s="328">
        <f>IF(COUNTA(C27:N27)=0,"","〇")</f>
        <v/>
      </c>
      <c r="Q27" s="462" t="n"/>
    </row>
    <row r="28" ht="15" customHeight="1">
      <c r="A28" s="454" t="inlineStr">
        <is>
          <t>小計</t>
        </is>
      </c>
      <c r="C28" s="328" t="n"/>
      <c r="D28" s="328">
        <f>SUM(D5:D27)</f>
        <v/>
      </c>
      <c r="E28" s="328">
        <f>SUM(E5:E27)</f>
        <v/>
      </c>
      <c r="F28" s="328" t="n"/>
      <c r="G28" s="328" t="n"/>
      <c r="H28" s="328">
        <f>SUM(H5:H27)</f>
        <v/>
      </c>
      <c r="I28" s="328" t="n"/>
      <c r="J28" s="328" t="n"/>
      <c r="K28" s="328" t="n"/>
      <c r="L28" s="328" t="n"/>
      <c r="M28" s="328" t="n"/>
      <c r="N28" s="328" t="n"/>
      <c r="O28" s="328" t="n"/>
      <c r="P28" s="328" t="n"/>
      <c r="Q28" s="328" t="n"/>
    </row>
    <row r="29" ht="15" customHeight="1">
      <c r="A29" s="231" t="inlineStr">
        <is>
          <t>備考</t>
        </is>
      </c>
      <c r="B29" s="464" t="n"/>
      <c r="C29" s="465" t="n"/>
      <c r="D29" s="465" t="n"/>
      <c r="E29" s="465" t="n"/>
      <c r="F29" s="465" t="n"/>
      <c r="G29" s="465" t="n"/>
      <c r="H29" s="465" t="n"/>
      <c r="I29" s="465" t="n"/>
      <c r="J29" s="465" t="n"/>
      <c r="K29" s="465" t="n"/>
      <c r="L29" s="465" t="n"/>
      <c r="M29" s="465" t="n"/>
      <c r="N29" s="465" t="n"/>
      <c r="O29" s="465" t="n"/>
      <c r="P29" s="465" t="n"/>
      <c r="Q29" s="466" t="n"/>
    </row>
    <row r="30" ht="15" customHeight="1">
      <c r="B30" s="467" t="n"/>
      <c r="C30" s="346" t="n"/>
      <c r="D30" s="346" t="n"/>
      <c r="E30" s="346" t="n"/>
      <c r="F30" s="346" t="n"/>
      <c r="G30" s="346" t="n"/>
      <c r="H30" s="346" t="n"/>
      <c r="I30" s="346" t="n"/>
      <c r="J30" s="346" t="n"/>
      <c r="K30" s="346" t="n"/>
      <c r="L30" s="346" t="n"/>
      <c r="M30" s="346" t="n"/>
      <c r="N30" s="346" t="n"/>
      <c r="O30" s="346" t="n"/>
      <c r="P30" s="346" t="n"/>
      <c r="Q30" s="468" t="n"/>
    </row>
    <row r="31" ht="15" customHeight="1">
      <c r="B31" s="467" t="n"/>
      <c r="C31" s="346" t="n"/>
      <c r="D31" s="346" t="n"/>
      <c r="E31" s="346" t="n"/>
      <c r="F31" s="346" t="n"/>
      <c r="G31" s="346" t="n"/>
      <c r="H31" s="346" t="n"/>
      <c r="I31" s="346" t="n"/>
      <c r="J31" s="346" t="n"/>
      <c r="K31" s="346" t="n"/>
      <c r="L31" s="346" t="n"/>
      <c r="M31" s="346" t="n"/>
      <c r="N31" s="346" t="n"/>
      <c r="O31" s="346" t="n"/>
      <c r="P31" s="346" t="n"/>
      <c r="Q31" s="468" t="n"/>
    </row>
    <row r="32" ht="15" customHeight="1">
      <c r="B32" s="467" t="n"/>
      <c r="C32" s="346" t="n"/>
      <c r="D32" s="346" t="n"/>
      <c r="E32" s="346" t="n"/>
      <c r="F32" s="346" t="n"/>
      <c r="G32" s="346" t="n"/>
      <c r="H32" s="346" t="n"/>
      <c r="I32" s="346" t="n"/>
      <c r="J32" s="346" t="n"/>
      <c r="K32" s="346" t="n"/>
      <c r="L32" s="346" t="n"/>
      <c r="M32" s="346" t="n"/>
      <c r="N32" s="346" t="n"/>
      <c r="O32" s="346" t="n"/>
      <c r="P32" s="346" t="n"/>
      <c r="Q32" s="468" t="n"/>
    </row>
    <row r="33" ht="15" customHeight="1">
      <c r="B33" s="469" t="n"/>
    </row>
    <row r="34" ht="15" customHeight="1">
      <c r="A34" s="102" t="inlineStr">
        <is>
          <t>備考１　この用紙の大きさは、日本産業規格Ａ４とすること。</t>
        </is>
      </c>
      <c r="B34" s="102" t="n"/>
      <c r="C34" s="102" t="n"/>
      <c r="D34" s="102" t="n"/>
      <c r="E34" s="102" t="n"/>
      <c r="F34" s="102" t="n"/>
      <c r="G34" s="102" t="n"/>
      <c r="H34" s="102" t="n"/>
      <c r="I34" s="102" t="n"/>
      <c r="J34" s="102" t="n"/>
      <c r="K34" s="102" t="n"/>
      <c r="L34" s="102" t="n"/>
      <c r="M34" s="102" t="n"/>
      <c r="N34" s="102" t="n"/>
      <c r="O34" s="102" t="n"/>
      <c r="P34" s="102" t="n"/>
      <c r="Q34" s="102" t="n"/>
      <c r="R34" s="102" t="n"/>
      <c r="S34" s="102" t="n"/>
      <c r="T34" s="102" t="n"/>
      <c r="U34" s="102" t="n"/>
    </row>
    <row r="35" ht="15" customHeight="1">
      <c r="A35" s="379" t="inlineStr">
        <is>
          <t xml:space="preserve">　　２　共用部分にあっては住棟受信機の表示番号、警戒区域ごとに、住戸等にあっては住戸等ごとに各欄に掲げ
　　　　る設備等の個数を記入すること。</t>
        </is>
      </c>
      <c r="R35" s="237" t="n"/>
      <c r="S35" s="102" t="n"/>
      <c r="T35" s="102" t="n"/>
      <c r="U35" s="102" t="n"/>
    </row>
    <row r="36" ht="15" customHeight="1">
      <c r="R36" s="102" t="n"/>
    </row>
    <row r="37" ht="15" customHeight="1">
      <c r="A37" s="379" t="inlineStr">
        <is>
          <t xml:space="preserve">　　３　結果の欄には、住棟受信機の表示番号、警戒区域又は住戸等ごとに各欄に掲げる設備等の試験結果が全て
　　　　良の場合は○、一部でも否である場合は×を記入すること。</t>
        </is>
      </c>
      <c r="R37" s="102" t="n"/>
      <c r="S37" s="102" t="n"/>
      <c r="T37" s="102" t="n"/>
      <c r="U37" s="102" t="n"/>
    </row>
    <row r="38" ht="15" customHeight="1">
      <c r="R38" s="102" t="n"/>
      <c r="S38" s="450" t="n"/>
      <c r="T38" s="450" t="n"/>
      <c r="U38" s="450" t="n"/>
    </row>
    <row r="39" ht="15" customHeight="1">
      <c r="A39" s="450" t="n"/>
      <c r="B39" s="450" t="n"/>
      <c r="C39" s="450" t="n"/>
      <c r="D39" s="450" t="n"/>
      <c r="E39" s="450" t="n"/>
      <c r="F39" s="450" t="n"/>
      <c r="G39" s="450" t="n"/>
      <c r="H39" s="450" t="n"/>
      <c r="I39" s="450" t="n"/>
      <c r="J39" s="450" t="n"/>
      <c r="K39" s="450" t="n"/>
      <c r="L39" s="450" t="n"/>
      <c r="M39" s="450" t="n"/>
      <c r="N39" s="450" t="n"/>
      <c r="O39" s="450" t="n"/>
      <c r="P39" s="450" t="n"/>
      <c r="Q39" s="450" t="n"/>
      <c r="R39" s="450" t="n"/>
      <c r="S39" s="450" t="n"/>
      <c r="T39" s="450" t="n"/>
      <c r="U39" s="450" t="n"/>
    </row>
  </sheetData>
  <sheetProtection selectLockedCells="0" selectUnlockedCells="0" sheet="1" objects="1" insertRows="1" insertHyperlinks="1" autoFilter="1" scenarios="1" formatColumns="0" deleteColumns="1" insertColumns="1" pivotTables="1" deleteRows="1" formatCells="0" formatRows="0" sort="1"/>
  <mergeCells count="12">
    <mergeCell ref="A35:Q36"/>
    <mergeCell ref="A3:B3"/>
    <mergeCell ref="O3:P3"/>
    <mergeCell ref="A29:A33"/>
    <mergeCell ref="C3:C4"/>
    <mergeCell ref="M3:M4"/>
    <mergeCell ref="A28:B28"/>
    <mergeCell ref="Q3:Q4"/>
    <mergeCell ref="A37:Q38"/>
    <mergeCell ref="N3:N4"/>
    <mergeCell ref="D3:L3"/>
    <mergeCell ref="B33:Q33"/>
  </mergeCells>
  <dataValidations count="1">
    <dataValidation sqref="C5 C6 C7 C8 C9 C10 C11 C12 C13 C14 C15 C16 C17 C18 C19 C20 C21 C22 C23 C24 C25 C26 C27 D5 D6 D7 D8 D9 D10 D11 D12 D13 D14 D15 D16 D17 D18 D19 D20 D21 D22 D23 D24 D25 D26 D27 E5 E6 E7 E8 E9 E10 E11 E12 E13 E14 E15 E16 E17 E18 E19 E20 E21 E22 E23 E24 E25 E26 E27 F5 F6 F7 F8 F9 F10 F11 F12 F13 F14 F15 F16 F17 F18 F19 F20 F21 F22 F23 F24 F25 F26 F27 G5 G6 G7 G8 G9 G10 G11 G12 G13 G14 G15 G16 G17 G18 G19 G20 G21 G22 G23 G24 G25 G26 G27 H5 H6 H7 H8 H9 H10 H11 H12 H13 H14 H15 H16 H17 H18 H19 H20 H21 H22 H23 H24 H25 H26 H27 I5 I6 I7 I8 I9 I10 I11 I12 I13 I14 I15 I16 I17 I18 I19 I20 I21 I22 I23 I24 I25 I26 I27 J5 J6 J7 J8 J9 J10 J11 J12 J13 J14 J15 J16 J17 J18 J19 J20 J21 J22 J23 J24 J25 J26 J27 K5 K6 K7 K8 K9 K10 K11 K12 K13 K14 K15 K16 K17 K18 K19 K20 K21 K22 K23 K24 K25 K26 K27 L5 L6 L7 L8 L9 L10 L11 L12 L13 L14 L15 L16 L17 L18 L19 L20 L21 L22 L23 L24 L25 L26 L27 M5 M6 M7 M8 M9 M10 M11 M12 M13 M14 M15 M16 M17 M18 M19 M20 M21 M22 M23 M24 M25 M26 M27 N5 N6 N7 N8 N9 N10 N11 N12 N13 N14 N15 N16 N17 N18 N19 N20 N21 N22 N23 N24 N25 N26 N27" showDropDown="0" showInputMessage="1" showErrorMessage="1" allowBlank="1" errorTitle="入力エラー" error="0以上の整数を入力してください" promptTitle="数量入力" prompt="設備の個数を入力（0以上の整数）" type="whole" operator="greaterThanOrEqual">
      <formula1>0</formula1>
    </dataValidation>
  </dataValidations>
  <pageMargins left="0.7" right="0.7" top="0.75" bottom="0.75" header="0.3" footer="0.3"/>
  <pageSetup orientation="portrait" paperSize="9" scale="98"/>
</worksheet>
</file>

<file path=xl/worksheets/sheet13.xml><?xml version="1.0" encoding="utf-8"?>
<worksheet xmlns="http://schemas.openxmlformats.org/spreadsheetml/2006/main">
  <sheetPr>
    <outlinePr summaryBelow="1" summaryRight="1"/>
    <pageSetUpPr/>
  </sheetPr>
  <dimension ref="A1:T38"/>
  <sheetViews>
    <sheetView workbookViewId="0">
      <selection activeCell="A1" sqref="A1"/>
    </sheetView>
  </sheetViews>
  <sheetFormatPr baseColWidth="8" defaultRowHeight="15"/>
  <cols>
    <col width="3.69921875" customWidth="1" min="1" max="1"/>
    <col width="20.59765625" customWidth="1" min="2" max="2"/>
    <col width="3.69921875" customWidth="1" min="3" max="3"/>
    <col width="5.69921875" customWidth="1" min="17" max="17"/>
  </cols>
  <sheetData>
    <row r="1" ht="18" customHeight="1">
      <c r="A1" s="451" t="inlineStr">
        <is>
          <t>共同住宅用自動火災報知設備</t>
        </is>
      </c>
      <c r="B1" s="451" t="n"/>
      <c r="C1" s="451" t="n"/>
      <c r="D1" s="451" t="n"/>
      <c r="E1" s="451" t="n"/>
      <c r="F1" s="451" t="n"/>
      <c r="G1" s="451" t="n"/>
      <c r="H1" s="451" t="n"/>
      <c r="I1" s="451" t="n"/>
      <c r="J1" s="451" t="n"/>
      <c r="K1" s="451" t="n"/>
      <c r="L1" s="451" t="n"/>
      <c r="M1" s="451" t="n"/>
      <c r="N1" s="451" t="n"/>
      <c r="O1" s="451" t="n"/>
      <c r="P1" s="451" t="n"/>
      <c r="Q1" s="452" t="inlineStr">
        <is>
          <t>④</t>
        </is>
      </c>
      <c r="R1" s="451" t="n"/>
      <c r="S1" s="451" t="n"/>
    </row>
    <row r="2" ht="18" customHeight="1">
      <c r="B2" s="451" t="n"/>
      <c r="C2" s="451" t="n"/>
      <c r="D2" s="451" t="n"/>
      <c r="E2" s="451" t="n"/>
      <c r="F2" s="451" t="n"/>
      <c r="G2" s="451" t="n"/>
      <c r="H2" s="451" t="n"/>
      <c r="I2" s="451" t="n"/>
      <c r="J2" s="451" t="n"/>
      <c r="K2" s="451" t="n"/>
      <c r="L2" s="451" t="n"/>
      <c r="M2" s="451" t="n"/>
      <c r="N2" s="451" t="n"/>
      <c r="O2" s="451" t="n"/>
      <c r="P2" s="451" t="n"/>
      <c r="Q2" s="452" t="inlineStr">
        <is>
          <t>専有部　その1</t>
        </is>
      </c>
      <c r="R2" s="453" t="n"/>
      <c r="S2" s="451" t="n"/>
      <c r="T2" s="451" t="n"/>
    </row>
    <row r="3" ht="22.05" customHeight="1">
      <c r="A3" s="454" t="inlineStr">
        <is>
          <t>警戒区域又は住戸等</t>
        </is>
      </c>
      <c r="C3" s="455" t="inlineStr">
        <is>
          <t>住戸用受信機</t>
        </is>
      </c>
      <c r="D3" s="456" t="inlineStr">
        <is>
          <t>感知器</t>
        </is>
      </c>
      <c r="M3" s="457" t="inlineStr">
        <is>
          <t>音声警報装置</t>
        </is>
      </c>
      <c r="N3" s="455" t="inlineStr">
        <is>
          <t>戸外表示器</t>
        </is>
      </c>
      <c r="O3" s="454" t="inlineStr">
        <is>
          <t>結果</t>
        </is>
      </c>
      <c r="Q3" s="454" t="inlineStr">
        <is>
          <t>備考</t>
        </is>
      </c>
    </row>
    <row r="4" ht="140.4" customHeight="1">
      <c r="A4" s="459" t="inlineStr">
        <is>
          <t>住棟受信機の表示番号</t>
        </is>
      </c>
      <c r="B4" s="460" t="inlineStr">
        <is>
          <t>名称等</t>
        </is>
      </c>
      <c r="D4" s="455" t="inlineStr">
        <is>
          <t>差動式スポット型</t>
        </is>
      </c>
      <c r="E4" s="455" t="inlineStr">
        <is>
          <t>定温式スポット型</t>
        </is>
      </c>
      <c r="F4" s="455" t="inlineStr">
        <is>
          <t>補償式スポット型</t>
        </is>
      </c>
      <c r="G4" s="455" t="inlineStr">
        <is>
          <t>熱アナログ式スポット型</t>
        </is>
      </c>
      <c r="H4" s="455" t="inlineStr">
        <is>
          <t>光電式スポット型</t>
        </is>
      </c>
      <c r="I4" s="455" t="inlineStr">
        <is>
          <t>光電アナログ式スポット型</t>
        </is>
      </c>
      <c r="J4" s="457" t="inlineStr">
        <is>
          <t>イオン化式スポット型</t>
        </is>
      </c>
      <c r="K4" s="461" t="inlineStr">
        <is>
          <t>イオン化アナログ式スポット型</t>
        </is>
      </c>
      <c r="L4" s="455" t="inlineStr">
        <is>
          <t>炎感知器</t>
        </is>
      </c>
      <c r="O4" s="455" t="inlineStr">
        <is>
          <t>外観試験</t>
        </is>
      </c>
      <c r="P4" s="455" t="inlineStr">
        <is>
          <t>機能試験</t>
        </is>
      </c>
    </row>
    <row r="5" ht="16.2" customHeight="1">
      <c r="A5" s="470" t="n"/>
      <c r="B5" s="471" t="inlineStr">
        <is>
          <t>201</t>
        </is>
      </c>
      <c r="C5" s="462" t="n">
        <v>1</v>
      </c>
      <c r="D5" s="472" t="n">
        <v>5</v>
      </c>
      <c r="E5" s="462" t="n">
        <v>1</v>
      </c>
      <c r="F5" s="472" t="n"/>
      <c r="G5" s="472" t="n"/>
      <c r="H5" s="472" t="n"/>
      <c r="I5" s="472" t="n"/>
      <c r="J5" s="473" t="n"/>
      <c r="K5" s="474" t="n"/>
      <c r="L5" s="472" t="n"/>
      <c r="M5" s="473" t="n"/>
      <c r="N5" s="462" t="n">
        <v>1</v>
      </c>
      <c r="O5" s="328">
        <f>IF(COUNTA(C5:N5)=0,"","〇")</f>
        <v/>
      </c>
      <c r="P5" s="328">
        <f>IF(COUNTA(C5:N5)=0,"","〇")</f>
        <v/>
      </c>
      <c r="Q5" s="475" t="n"/>
    </row>
    <row r="6" ht="15" customHeight="1">
      <c r="A6" s="462" t="n"/>
      <c r="B6" s="471" t="inlineStr">
        <is>
          <t>202</t>
        </is>
      </c>
      <c r="C6" s="462" t="n">
        <v>1</v>
      </c>
      <c r="D6" s="462" t="n">
        <v>5</v>
      </c>
      <c r="E6" s="462" t="n">
        <v>1</v>
      </c>
      <c r="F6" s="462" t="n"/>
      <c r="G6" s="462" t="n"/>
      <c r="H6" s="462" t="n"/>
      <c r="I6" s="462" t="n"/>
      <c r="J6" s="462" t="n"/>
      <c r="K6" s="462" t="n"/>
      <c r="L6" s="462" t="n"/>
      <c r="M6" s="462" t="n"/>
      <c r="N6" s="462" t="n">
        <v>1</v>
      </c>
      <c r="O6" s="328">
        <f>IF(COUNTA(C6:N6)=0,"","〇")</f>
        <v/>
      </c>
      <c r="P6" s="328">
        <f>IF(COUNTA(C6:N6)=0,"","〇")</f>
        <v/>
      </c>
      <c r="Q6" s="462" t="n"/>
    </row>
    <row r="7" ht="15" customHeight="1">
      <c r="A7" s="462" t="n"/>
      <c r="B7" s="471" t="inlineStr">
        <is>
          <t>203</t>
        </is>
      </c>
      <c r="C7" s="462" t="n">
        <v>1</v>
      </c>
      <c r="D7" s="462" t="n">
        <v>5</v>
      </c>
      <c r="E7" s="462" t="n">
        <v>1</v>
      </c>
      <c r="F7" s="462" t="n"/>
      <c r="G7" s="462" t="n"/>
      <c r="H7" s="462" t="n"/>
      <c r="I7" s="462" t="n"/>
      <c r="J7" s="462" t="n"/>
      <c r="K7" s="462" t="n"/>
      <c r="L7" s="462" t="n"/>
      <c r="M7" s="462" t="n"/>
      <c r="N7" s="462" t="n">
        <v>1</v>
      </c>
      <c r="O7" s="328">
        <f>IF(COUNTA(C7:N7)=0,"","〇")</f>
        <v/>
      </c>
      <c r="P7" s="328">
        <f>IF(COUNTA(C7:N7)=0,"","〇")</f>
        <v/>
      </c>
      <c r="Q7" s="462" t="n"/>
    </row>
    <row r="8" ht="15" customHeight="1">
      <c r="A8" s="462" t="n"/>
      <c r="B8" s="471" t="inlineStr">
        <is>
          <t>205</t>
        </is>
      </c>
      <c r="C8" s="462" t="n">
        <v>1</v>
      </c>
      <c r="D8" s="462" t="n">
        <v>5</v>
      </c>
      <c r="E8" s="462" t="n">
        <v>1</v>
      </c>
      <c r="F8" s="462" t="n"/>
      <c r="G8" s="462" t="n"/>
      <c r="H8" s="462" t="n"/>
      <c r="I8" s="462" t="n"/>
      <c r="J8" s="462" t="n"/>
      <c r="K8" s="462" t="n"/>
      <c r="L8" s="462" t="n"/>
      <c r="M8" s="462" t="n"/>
      <c r="N8" s="462" t="n">
        <v>1</v>
      </c>
      <c r="O8" s="328">
        <f>IF(COUNTA(C8:N8)=0,"","〇")</f>
        <v/>
      </c>
      <c r="P8" s="328">
        <f>IF(COUNTA(C8:N8)=0,"","〇")</f>
        <v/>
      </c>
      <c r="Q8" s="462" t="n"/>
    </row>
    <row r="9" ht="15" customHeight="1">
      <c r="A9" s="462" t="n"/>
      <c r="B9" s="471" t="inlineStr">
        <is>
          <t>301</t>
        </is>
      </c>
      <c r="C9" s="462" t="n">
        <v>1</v>
      </c>
      <c r="D9" s="462" t="n">
        <v>4</v>
      </c>
      <c r="E9" s="462" t="n">
        <v>1</v>
      </c>
      <c r="F9" s="462" t="n"/>
      <c r="G9" s="462" t="n"/>
      <c r="H9" s="462" t="n"/>
      <c r="I9" s="462" t="n"/>
      <c r="J9" s="462" t="n"/>
      <c r="K9" s="462" t="n"/>
      <c r="L9" s="462" t="n"/>
      <c r="M9" s="462" t="n"/>
      <c r="N9" s="462" t="n">
        <v>1</v>
      </c>
      <c r="O9" s="328">
        <f>IF(COUNTA(C9:N9)=0,"","〇")</f>
        <v/>
      </c>
      <c r="P9" s="328">
        <f>IF(COUNTA(C9:N9)=0,"","〇")</f>
        <v/>
      </c>
      <c r="Q9" s="462" t="n"/>
    </row>
    <row r="10" ht="15" customHeight="1">
      <c r="A10" s="462" t="n"/>
      <c r="B10" s="471" t="inlineStr">
        <is>
          <t>302</t>
        </is>
      </c>
      <c r="C10" s="462" t="n">
        <v>1</v>
      </c>
      <c r="D10" s="462" t="n">
        <v>5</v>
      </c>
      <c r="E10" s="462" t="n">
        <v>1</v>
      </c>
      <c r="F10" s="462" t="n"/>
      <c r="G10" s="462" t="n"/>
      <c r="H10" s="462" t="n"/>
      <c r="I10" s="462" t="n"/>
      <c r="J10" s="462" t="n"/>
      <c r="K10" s="462" t="n"/>
      <c r="L10" s="462" t="n"/>
      <c r="M10" s="462" t="n"/>
      <c r="N10" s="462" t="n">
        <v>1</v>
      </c>
      <c r="O10" s="328">
        <f>IF(COUNTA(C10:N10)=0,"","〇")</f>
        <v/>
      </c>
      <c r="P10" s="328">
        <f>IF(COUNTA(C10:N10)=0,"","〇")</f>
        <v/>
      </c>
      <c r="Q10" s="462" t="n"/>
    </row>
    <row r="11" ht="15" customHeight="1">
      <c r="A11" s="462" t="n"/>
      <c r="B11" s="471" t="inlineStr">
        <is>
          <t>303</t>
        </is>
      </c>
      <c r="C11" s="462" t="n">
        <v>1</v>
      </c>
      <c r="D11" s="462" t="n">
        <v>5</v>
      </c>
      <c r="E11" s="462" t="n">
        <v>1</v>
      </c>
      <c r="F11" s="462" t="n"/>
      <c r="G11" s="462" t="n"/>
      <c r="H11" s="462" t="n"/>
      <c r="I11" s="462" t="n"/>
      <c r="J11" s="462" t="n"/>
      <c r="K11" s="462" t="n"/>
      <c r="L11" s="462" t="n"/>
      <c r="M11" s="462" t="n"/>
      <c r="N11" s="462" t="n">
        <v>1</v>
      </c>
      <c r="O11" s="328">
        <f>IF(COUNTA(C11:N11)=0,"","〇")</f>
        <v/>
      </c>
      <c r="P11" s="328">
        <f>IF(COUNTA(C11:N11)=0,"","〇")</f>
        <v/>
      </c>
      <c r="Q11" s="462" t="n"/>
    </row>
    <row r="12" ht="15" customHeight="1">
      <c r="A12" s="462" t="n"/>
      <c r="B12" s="471" t="inlineStr">
        <is>
          <t>305</t>
        </is>
      </c>
      <c r="C12" s="462" t="n">
        <v>1</v>
      </c>
      <c r="D12" s="462" t="n">
        <v>4</v>
      </c>
      <c r="E12" s="462" t="n">
        <v>1</v>
      </c>
      <c r="F12" s="462" t="n"/>
      <c r="G12" s="462" t="n"/>
      <c r="H12" s="462" t="n"/>
      <c r="I12" s="462" t="n"/>
      <c r="J12" s="462" t="n"/>
      <c r="K12" s="462" t="n"/>
      <c r="L12" s="462" t="n"/>
      <c r="M12" s="462" t="n"/>
      <c r="N12" s="462" t="n">
        <v>1</v>
      </c>
      <c r="O12" s="328">
        <f>IF(COUNTA(C12:N12)=0,"","〇")</f>
        <v/>
      </c>
      <c r="P12" s="328">
        <f>IF(COUNTA(C12:N12)=0,"","〇")</f>
        <v/>
      </c>
      <c r="Q12" s="462" t="n"/>
    </row>
    <row r="13" ht="15" customHeight="1">
      <c r="A13" s="462" t="n"/>
      <c r="B13" s="471" t="inlineStr">
        <is>
          <t>401</t>
        </is>
      </c>
      <c r="C13" s="462" t="n">
        <v>1</v>
      </c>
      <c r="D13" s="462" t="n">
        <v>4</v>
      </c>
      <c r="E13" s="462" t="n">
        <v>1</v>
      </c>
      <c r="F13" s="462" t="n"/>
      <c r="G13" s="462" t="n"/>
      <c r="H13" s="462" t="n"/>
      <c r="I13" s="462" t="n"/>
      <c r="J13" s="462" t="n"/>
      <c r="K13" s="462" t="n"/>
      <c r="L13" s="462" t="n"/>
      <c r="M13" s="462" t="n"/>
      <c r="N13" s="462" t="n">
        <v>1</v>
      </c>
      <c r="O13" s="328">
        <f>IF(COUNTA(C13:N13)=0,"","〇")</f>
        <v/>
      </c>
      <c r="P13" s="328">
        <f>IF(COUNTA(C13:N13)=0,"","〇")</f>
        <v/>
      </c>
      <c r="Q13" s="462" t="n"/>
    </row>
    <row r="14" ht="15" customHeight="1">
      <c r="A14" s="462" t="n"/>
      <c r="B14" s="471" t="inlineStr">
        <is>
          <t>402</t>
        </is>
      </c>
      <c r="C14" s="462" t="n">
        <v>1</v>
      </c>
      <c r="D14" s="462" t="n">
        <v>5</v>
      </c>
      <c r="E14" s="462" t="n">
        <v>1</v>
      </c>
      <c r="F14" s="462" t="n"/>
      <c r="G14" s="462" t="n"/>
      <c r="H14" s="462" t="n"/>
      <c r="I14" s="462" t="n"/>
      <c r="J14" s="462" t="n"/>
      <c r="K14" s="462" t="n"/>
      <c r="L14" s="462" t="n"/>
      <c r="M14" s="462" t="n"/>
      <c r="N14" s="462" t="n">
        <v>1</v>
      </c>
      <c r="O14" s="328">
        <f>IF(COUNTA(C14:N14)=0,"","〇")</f>
        <v/>
      </c>
      <c r="P14" s="328">
        <f>IF(COUNTA(C14:N14)=0,"","〇")</f>
        <v/>
      </c>
      <c r="Q14" s="462" t="n"/>
    </row>
    <row r="15" ht="15" customHeight="1">
      <c r="A15" s="462" t="n"/>
      <c r="B15" s="471" t="inlineStr">
        <is>
          <t>403</t>
        </is>
      </c>
      <c r="C15" s="462" t="n">
        <v>1</v>
      </c>
      <c r="D15" s="462" t="n">
        <v>5</v>
      </c>
      <c r="E15" s="462" t="n">
        <v>1</v>
      </c>
      <c r="F15" s="462" t="n"/>
      <c r="G15" s="462" t="n"/>
      <c r="H15" s="462" t="n"/>
      <c r="I15" s="462" t="n"/>
      <c r="J15" s="462" t="n"/>
      <c r="K15" s="462" t="n"/>
      <c r="L15" s="462" t="n"/>
      <c r="M15" s="462" t="n"/>
      <c r="N15" s="462" t="n">
        <v>1</v>
      </c>
      <c r="O15" s="328">
        <f>IF(COUNTA(C15:N15)=0,"","〇")</f>
        <v/>
      </c>
      <c r="P15" s="328">
        <f>IF(COUNTA(C15:N15)=0,"","〇")</f>
        <v/>
      </c>
      <c r="Q15" s="462" t="n"/>
    </row>
    <row r="16" ht="15" customHeight="1">
      <c r="A16" s="462" t="n"/>
      <c r="B16" s="471" t="inlineStr">
        <is>
          <t>405</t>
        </is>
      </c>
      <c r="C16" s="462" t="n">
        <v>1</v>
      </c>
      <c r="D16" s="462" t="n">
        <v>5</v>
      </c>
      <c r="E16" s="462" t="n">
        <v>1</v>
      </c>
      <c r="F16" s="462" t="n"/>
      <c r="G16" s="462" t="n"/>
      <c r="H16" s="462" t="n"/>
      <c r="I16" s="462" t="n"/>
      <c r="J16" s="462" t="n"/>
      <c r="K16" s="462" t="n"/>
      <c r="L16" s="462" t="n"/>
      <c r="M16" s="462" t="n"/>
      <c r="N16" s="462" t="n">
        <v>1</v>
      </c>
      <c r="O16" s="328">
        <f>IF(COUNTA(C16:N16)=0,"","〇")</f>
        <v/>
      </c>
      <c r="P16" s="328">
        <f>IF(COUNTA(C16:N16)=0,"","〇")</f>
        <v/>
      </c>
      <c r="Q16" s="462" t="n"/>
    </row>
    <row r="17" ht="15" customHeight="1">
      <c r="A17" s="462" t="n"/>
      <c r="B17" s="471" t="inlineStr">
        <is>
          <t>501</t>
        </is>
      </c>
      <c r="C17" s="462" t="n">
        <v>1</v>
      </c>
      <c r="D17" s="462" t="n">
        <v>4</v>
      </c>
      <c r="E17" s="462" t="n">
        <v>1</v>
      </c>
      <c r="F17" s="462" t="n"/>
      <c r="G17" s="462" t="n"/>
      <c r="H17" s="462" t="n"/>
      <c r="I17" s="462" t="n"/>
      <c r="J17" s="462" t="n"/>
      <c r="K17" s="462" t="n"/>
      <c r="L17" s="462" t="n"/>
      <c r="M17" s="462" t="n"/>
      <c r="N17" s="462" t="n">
        <v>1</v>
      </c>
      <c r="O17" s="328">
        <f>IF(COUNTA(C17:N17)=0,"","〇")</f>
        <v/>
      </c>
      <c r="P17" s="328">
        <f>IF(COUNTA(C17:N17)=0,"","〇")</f>
        <v/>
      </c>
      <c r="Q17" s="462" t="n"/>
    </row>
    <row r="18" ht="15" customHeight="1">
      <c r="A18" s="462" t="n"/>
      <c r="B18" s="471" t="inlineStr">
        <is>
          <t>502</t>
        </is>
      </c>
      <c r="C18" s="462" t="n">
        <v>1</v>
      </c>
      <c r="D18" s="462" t="n">
        <v>5</v>
      </c>
      <c r="E18" s="462" t="n">
        <v>1</v>
      </c>
      <c r="F18" s="462" t="n"/>
      <c r="G18" s="462" t="n"/>
      <c r="H18" s="462" t="n"/>
      <c r="I18" s="462" t="n"/>
      <c r="J18" s="462" t="n"/>
      <c r="K18" s="462" t="n"/>
      <c r="L18" s="462" t="n"/>
      <c r="M18" s="462" t="n"/>
      <c r="N18" s="462" t="n">
        <v>1</v>
      </c>
      <c r="O18" s="328">
        <f>IF(COUNTA(C18:N18)=0,"","〇")</f>
        <v/>
      </c>
      <c r="P18" s="328">
        <f>IF(COUNTA(C18:N18)=0,"","〇")</f>
        <v/>
      </c>
      <c r="Q18" s="462" t="n"/>
    </row>
    <row r="19" ht="15" customHeight="1">
      <c r="A19" s="462" t="n"/>
      <c r="B19" s="471" t="inlineStr">
        <is>
          <t>503</t>
        </is>
      </c>
      <c r="C19" s="462" t="n">
        <v>1</v>
      </c>
      <c r="D19" s="462" t="n">
        <v>5</v>
      </c>
      <c r="E19" s="462" t="n">
        <v>1</v>
      </c>
      <c r="F19" s="462" t="n"/>
      <c r="G19" s="462" t="n"/>
      <c r="H19" s="462" t="n"/>
      <c r="I19" s="462" t="n"/>
      <c r="J19" s="462" t="n"/>
      <c r="K19" s="462" t="n"/>
      <c r="L19" s="462" t="n"/>
      <c r="M19" s="462" t="n"/>
      <c r="N19" s="462" t="n">
        <v>1</v>
      </c>
      <c r="O19" s="328">
        <f>IF(COUNTA(C19:N19)=0,"","〇")</f>
        <v/>
      </c>
      <c r="P19" s="328">
        <f>IF(COUNTA(C19:N19)=0,"","〇")</f>
        <v/>
      </c>
      <c r="Q19" s="462" t="n"/>
    </row>
    <row r="20" ht="15" customHeight="1">
      <c r="A20" s="462" t="n"/>
      <c r="B20" s="471" t="inlineStr">
        <is>
          <t>505</t>
        </is>
      </c>
      <c r="C20" s="462" t="n">
        <v>1</v>
      </c>
      <c r="D20" s="462" t="n">
        <v>5</v>
      </c>
      <c r="E20" s="462" t="n">
        <v>1</v>
      </c>
      <c r="F20" s="462" t="n"/>
      <c r="G20" s="462" t="n"/>
      <c r="H20" s="462" t="n"/>
      <c r="I20" s="462" t="n"/>
      <c r="J20" s="462" t="n"/>
      <c r="K20" s="462" t="n"/>
      <c r="L20" s="462" t="n"/>
      <c r="M20" s="462" t="n"/>
      <c r="N20" s="462" t="n">
        <v>1</v>
      </c>
      <c r="O20" s="328">
        <f>IF(COUNTA(C20:N20)=0,"","〇")</f>
        <v/>
      </c>
      <c r="P20" s="328">
        <f>IF(COUNTA(C20:N20)=0,"","〇")</f>
        <v/>
      </c>
      <c r="Q20" s="462" t="n"/>
    </row>
    <row r="21" ht="15" customHeight="1">
      <c r="A21" s="462" t="n"/>
      <c r="B21" s="471" t="inlineStr">
        <is>
          <t>601</t>
        </is>
      </c>
      <c r="C21" s="462" t="n"/>
      <c r="D21" s="462" t="n"/>
      <c r="E21" s="462" t="n"/>
      <c r="F21" s="462" t="n"/>
      <c r="G21" s="462" t="n"/>
      <c r="H21" s="462" t="n"/>
      <c r="I21" s="462" t="n"/>
      <c r="J21" s="462" t="n"/>
      <c r="K21" s="462" t="n"/>
      <c r="L21" s="462" t="n"/>
      <c r="M21" s="462" t="n"/>
      <c r="N21" s="462" t="n"/>
      <c r="O21" s="328">
        <f>IF(COUNTA(C21:N21)=0,"","〇")</f>
        <v/>
      </c>
      <c r="P21" s="328">
        <f>IF(COUNTA(C21:N21)=0,"","〇")</f>
        <v/>
      </c>
      <c r="Q21" s="462" t="n"/>
    </row>
    <row r="22" ht="15" customHeight="1">
      <c r="A22" s="462" t="n"/>
      <c r="B22" s="471" t="inlineStr">
        <is>
          <t>602</t>
        </is>
      </c>
      <c r="C22" s="462" t="n">
        <v>1</v>
      </c>
      <c r="D22" s="462" t="n">
        <v>5</v>
      </c>
      <c r="E22" s="462" t="n">
        <v>1</v>
      </c>
      <c r="F22" s="462" t="n"/>
      <c r="G22" s="462" t="n"/>
      <c r="H22" s="462" t="n"/>
      <c r="I22" s="462" t="n"/>
      <c r="J22" s="462" t="n"/>
      <c r="K22" s="462" t="n"/>
      <c r="L22" s="462" t="n"/>
      <c r="M22" s="462" t="n"/>
      <c r="N22" s="462" t="n">
        <v>1</v>
      </c>
      <c r="O22" s="328">
        <f>IF(COUNTA(C22:N22)=0,"","〇")</f>
        <v/>
      </c>
      <c r="P22" s="328">
        <f>IF(COUNTA(C22:N22)=0,"","〇")</f>
        <v/>
      </c>
      <c r="Q22" s="462" t="n"/>
    </row>
    <row r="23" ht="15" customHeight="1">
      <c r="A23" s="462" t="n"/>
      <c r="B23" s="471" t="inlineStr">
        <is>
          <t>603</t>
        </is>
      </c>
      <c r="C23" s="462" t="n">
        <v>1</v>
      </c>
      <c r="D23" s="462" t="n">
        <v>5</v>
      </c>
      <c r="E23" s="462" t="n">
        <v>1</v>
      </c>
      <c r="F23" s="462" t="n"/>
      <c r="G23" s="462" t="n"/>
      <c r="H23" s="462" t="n"/>
      <c r="I23" s="462" t="n"/>
      <c r="J23" s="462" t="n"/>
      <c r="K23" s="462" t="n"/>
      <c r="L23" s="462" t="n"/>
      <c r="M23" s="462" t="n"/>
      <c r="N23" s="462" t="n">
        <v>1</v>
      </c>
      <c r="O23" s="328">
        <f>IF(COUNTA(C23:N23)=0,"","〇")</f>
        <v/>
      </c>
      <c r="P23" s="328">
        <f>IF(COUNTA(C23:N23)=0,"","〇")</f>
        <v/>
      </c>
      <c r="Q23" s="462" t="n"/>
    </row>
    <row r="24" ht="15" customHeight="1">
      <c r="A24" s="462" t="n"/>
      <c r="B24" s="471" t="inlineStr">
        <is>
          <t>605</t>
        </is>
      </c>
      <c r="C24" s="462" t="n">
        <v>1</v>
      </c>
      <c r="D24" s="462" t="n">
        <v>5</v>
      </c>
      <c r="E24" s="462" t="n">
        <v>1</v>
      </c>
      <c r="F24" s="462" t="n"/>
      <c r="G24" s="462" t="n"/>
      <c r="H24" s="462" t="n"/>
      <c r="I24" s="462" t="n"/>
      <c r="J24" s="462" t="n"/>
      <c r="K24" s="462" t="n"/>
      <c r="L24" s="462" t="n"/>
      <c r="M24" s="462" t="n"/>
      <c r="N24" s="462" t="n">
        <v>1</v>
      </c>
      <c r="O24" s="328">
        <f>IF(COUNTA(C24:N24)=0,"","〇")</f>
        <v/>
      </c>
      <c r="P24" s="328">
        <f>IF(COUNTA(C24:N24)=0,"","〇")</f>
        <v/>
      </c>
      <c r="Q24" s="462" t="n"/>
    </row>
    <row r="25" ht="15" customHeight="1">
      <c r="A25" s="462" t="n"/>
      <c r="B25" s="471" t="n"/>
      <c r="C25" s="462" t="n"/>
      <c r="D25" s="462" t="n"/>
      <c r="E25" s="462" t="n"/>
      <c r="F25" s="462" t="n"/>
      <c r="G25" s="462" t="n"/>
      <c r="H25" s="462" t="n"/>
      <c r="I25" s="462" t="n"/>
      <c r="J25" s="462" t="n"/>
      <c r="K25" s="462" t="n"/>
      <c r="L25" s="462" t="n"/>
      <c r="M25" s="462" t="n"/>
      <c r="N25" s="462" t="n"/>
      <c r="O25" s="328">
        <f>IF(COUNTA(C25:N25)=0,"","〇")</f>
        <v/>
      </c>
      <c r="P25" s="328">
        <f>IF(COUNTA(C25:N25)=0,"","〇")</f>
        <v/>
      </c>
      <c r="Q25" s="462" t="n"/>
    </row>
    <row r="26" ht="15" customHeight="1">
      <c r="A26" s="462" t="n"/>
      <c r="B26" s="471" t="n"/>
      <c r="C26" s="462" t="n"/>
      <c r="D26" s="462" t="n"/>
      <c r="E26" s="462" t="n"/>
      <c r="F26" s="462" t="n"/>
      <c r="G26" s="462" t="n"/>
      <c r="H26" s="462" t="n"/>
      <c r="I26" s="462" t="n"/>
      <c r="J26" s="462" t="n"/>
      <c r="K26" s="462" t="n"/>
      <c r="L26" s="462" t="n"/>
      <c r="M26" s="462" t="n"/>
      <c r="N26" s="462" t="n"/>
      <c r="O26" s="328">
        <f>IF(COUNTA(C26:N26)=0,"","〇")</f>
        <v/>
      </c>
      <c r="P26" s="328">
        <f>IF(COUNTA(C26:N26)=0,"","〇")</f>
        <v/>
      </c>
      <c r="Q26" s="462" t="n"/>
    </row>
    <row r="27" ht="15" customHeight="1">
      <c r="A27" s="475" t="inlineStr">
        <is>
          <t>小計</t>
        </is>
      </c>
      <c r="B27" s="476" t="n"/>
      <c r="C27" s="328">
        <f>SUM(C5:C26)</f>
        <v/>
      </c>
      <c r="D27" s="328">
        <f>SUM(D5:D26)</f>
        <v/>
      </c>
      <c r="E27" s="328">
        <f>SUM(E5:E26)</f>
        <v/>
      </c>
      <c r="F27" s="462" t="n"/>
      <c r="G27" s="462" t="n"/>
      <c r="H27" s="462" t="n"/>
      <c r="I27" s="462" t="n"/>
      <c r="J27" s="462" t="n"/>
      <c r="K27" s="462" t="n"/>
      <c r="L27" s="462" t="n"/>
      <c r="M27" s="462" t="n"/>
      <c r="N27" s="328">
        <f>SUM(N5:N26)</f>
        <v/>
      </c>
      <c r="O27" s="328">
        <f>IF(COUNTA(C27:N27)=0,"","〇")</f>
        <v/>
      </c>
      <c r="P27" s="328">
        <f>IF(COUNTA(C27:N27)=0,"","〇")</f>
        <v/>
      </c>
      <c r="Q27" s="462" t="n"/>
    </row>
    <row r="28" ht="15" customHeight="1">
      <c r="A28" s="231" t="inlineStr">
        <is>
          <t>備考</t>
        </is>
      </c>
      <c r="B28" s="192" t="n"/>
      <c r="C28" s="233" t="n"/>
      <c r="D28" s="465" t="n"/>
      <c r="E28" s="465" t="n"/>
      <c r="F28" s="465" t="n"/>
      <c r="G28" s="465" t="n"/>
      <c r="H28" s="465" t="n"/>
      <c r="I28" s="465" t="n"/>
      <c r="J28" s="465" t="n"/>
      <c r="K28" s="465" t="n"/>
      <c r="L28" s="465" t="n"/>
      <c r="M28" s="465" t="n"/>
      <c r="N28" s="465" t="n"/>
      <c r="O28" s="465" t="n"/>
      <c r="P28" s="465" t="n"/>
      <c r="Q28" s="466" t="n"/>
    </row>
    <row r="29" ht="15" customHeight="1">
      <c r="B29" s="236" t="n"/>
      <c r="N29" s="346" t="n"/>
      <c r="O29" s="346" t="n"/>
      <c r="P29" s="346" t="n"/>
      <c r="Q29" s="468" t="n"/>
    </row>
    <row r="30" ht="15" customHeight="1">
      <c r="B30" s="467" t="n"/>
      <c r="C30" s="346" t="n"/>
      <c r="D30" s="346" t="n"/>
      <c r="E30" s="346" t="n"/>
      <c r="F30" s="346" t="n"/>
      <c r="G30" s="346" t="n"/>
      <c r="H30" s="346" t="n"/>
      <c r="I30" s="346" t="n"/>
      <c r="J30" s="346" t="n"/>
      <c r="K30" s="346" t="n"/>
      <c r="L30" s="346" t="n"/>
      <c r="M30" s="346" t="n"/>
      <c r="N30" s="346" t="n"/>
      <c r="O30" s="346" t="n"/>
      <c r="P30" s="346" t="n"/>
      <c r="Q30" s="468" t="n"/>
    </row>
    <row r="31" ht="15" customHeight="1">
      <c r="B31" s="467" t="n"/>
      <c r="C31" s="346" t="n"/>
      <c r="D31" s="346" t="n"/>
      <c r="E31" s="346" t="n"/>
      <c r="F31" s="346" t="n"/>
      <c r="G31" s="346" t="n"/>
      <c r="H31" s="346" t="n"/>
      <c r="I31" s="346" t="n"/>
      <c r="J31" s="346" t="n"/>
      <c r="K31" s="346" t="n"/>
      <c r="L31" s="346" t="n"/>
      <c r="M31" s="346" t="n"/>
      <c r="N31" s="346" t="n"/>
      <c r="O31" s="346" t="n"/>
      <c r="P31" s="346" t="n"/>
      <c r="Q31" s="468" t="n"/>
    </row>
    <row r="32" ht="15" customHeight="1">
      <c r="B32" s="469" t="n"/>
    </row>
    <row r="33" ht="15" customHeight="1">
      <c r="A33" s="102" t="inlineStr">
        <is>
          <t>備考１　この用紙の大きさは、日本産業規格Ａ４とすること。</t>
        </is>
      </c>
      <c r="B33" s="102" t="n"/>
      <c r="C33" s="102" t="n"/>
      <c r="D33" s="102" t="n"/>
      <c r="E33" s="102" t="n"/>
      <c r="F33" s="102" t="n"/>
      <c r="G33" s="102" t="n"/>
      <c r="H33" s="102" t="n"/>
      <c r="I33" s="102" t="n"/>
      <c r="J33" s="102" t="n"/>
      <c r="K33" s="102" t="n"/>
      <c r="L33" s="102" t="n"/>
      <c r="M33" s="102" t="n"/>
      <c r="N33" s="102" t="n"/>
      <c r="O33" s="102" t="n"/>
      <c r="P33" s="102" t="n"/>
      <c r="Q33" s="102" t="n"/>
      <c r="R33" s="102" t="n"/>
      <c r="S33" s="102" t="n"/>
      <c r="T33" s="102" t="n"/>
    </row>
    <row r="34" ht="15" customHeight="1">
      <c r="A34" s="379" t="inlineStr">
        <is>
          <t xml:space="preserve">　　２　共用部分にあっては住棟受信機の表示番号、警戒区域ごとに、住戸等にあっては住戸等ごとに各欄に掲げ
　　　　る設備等の個数を記入すること。</t>
        </is>
      </c>
      <c r="R34" s="237" t="n"/>
      <c r="S34" s="102" t="n"/>
      <c r="T34" s="102" t="n"/>
    </row>
    <row r="35" ht="15" customHeight="1">
      <c r="R35" s="102" t="n"/>
    </row>
    <row r="36" ht="15" customHeight="1">
      <c r="A36" s="379" t="inlineStr">
        <is>
          <t xml:space="preserve">　　３　結果の欄には、住棟受信機の表示番号、警戒区域又は住戸等ごとに各欄に掲げる設備等の試験結果が全て
　　　　良の場合は○、一部でも否である場合は×を記入すること。</t>
        </is>
      </c>
      <c r="R36" s="102" t="n"/>
      <c r="S36" s="102" t="n"/>
      <c r="T36" s="102" t="n"/>
    </row>
    <row r="37" ht="15" customHeight="1">
      <c r="R37" s="102" t="n"/>
      <c r="S37" s="450" t="n"/>
      <c r="T37" s="450" t="n"/>
    </row>
    <row r="38" ht="15" customHeight="1">
      <c r="A38" s="450" t="n"/>
      <c r="B38" s="450" t="n"/>
      <c r="C38" s="450" t="n"/>
      <c r="D38" s="450" t="n"/>
      <c r="E38" s="450" t="n"/>
      <c r="F38" s="450" t="n"/>
      <c r="G38" s="450" t="n"/>
      <c r="H38" s="450" t="n"/>
      <c r="I38" s="450" t="n"/>
      <c r="J38" s="450" t="n"/>
      <c r="K38" s="450" t="n"/>
      <c r="L38" s="450" t="n"/>
      <c r="M38" s="450" t="n"/>
      <c r="N38" s="450" t="n"/>
      <c r="O38" s="450" t="n"/>
      <c r="P38" s="450" t="n"/>
      <c r="Q38" s="450" t="n"/>
      <c r="R38" s="450" t="n"/>
      <c r="S38" s="450" t="n"/>
      <c r="T38" s="450" t="n"/>
    </row>
  </sheetData>
  <sheetProtection selectLockedCells="0" selectUnlockedCells="0" sheet="1" objects="1" insertRows="1" insertHyperlinks="1" autoFilter="1" scenarios="1" formatColumns="0" deleteColumns="1" insertColumns="1" pivotTables="1" deleteRows="1" formatCells="0" formatRows="0" sort="1"/>
  <mergeCells count="13">
    <mergeCell ref="O3:P3"/>
    <mergeCell ref="B32:Q32"/>
    <mergeCell ref="C3:C4"/>
    <mergeCell ref="A34:Q35"/>
    <mergeCell ref="M3:M4"/>
    <mergeCell ref="N3:N4"/>
    <mergeCell ref="Q3:Q4"/>
    <mergeCell ref="A28:A32"/>
    <mergeCell ref="A36:Q37"/>
    <mergeCell ref="D3:L3"/>
    <mergeCell ref="A27:B27"/>
    <mergeCell ref="A3:B3"/>
    <mergeCell ref="B29:M29"/>
  </mergeCells>
  <dataValidations count="1">
    <dataValidation sqref="C5 C6 C7 C8 C9 C10 C11 C12 C13 C14 C15 C16 C17 C18 C19 C20 C21 C22 C23 C24 C25 C26 D5 D6 D7 D8 D9 D10 D11 D12 D13 D14 D15 D16 D17 D18 D19 D20 D21 D22 D23 D24 D25 D26 E5 E6 E7 E8 E9 E10 E11 E12 E13 E14 E15 E16 E17 E18 E19 E20 E21 E22 E23 E24 E25 E26 F5 F6 F7 F8 F9 F10 F11 F12 F13 F14 F15 F16 F17 F18 F19 F20 F21 F22 F23 F24 F25 F26 F27 G5 G6 G7 G8 G9 G10 G11 G12 G13 G14 G15 G16 G17 G18 G19 G20 G21 G22 G23 G24 G25 G26 G27 H5 H6 H7 H8 H9 H10 H11 H12 H13 H14 H15 H16 H17 H18 H19 H20 H21 H22 H23 H24 H25 H26 H27 I5 I6 I7 I8 I9 I10 I11 I12 I13 I14 I15 I16 I17 I18 I19 I20 I21 I22 I23 I24 I25 I26 I27 J5 J6 J7 J8 J9 J10 J11 J12 J13 J14 J15 J16 J17 J18 J19 J20 J21 J22 J23 J24 J25 J26 J27 K5 K6 K7 K8 K9 K10 K11 K12 K13 K14 K15 K16 K17 K18 K19 K20 K21 K22 K23 K24 K25 K26 K27 L5 L6 L7 L8 L9 L10 L11 L12 L13 L14 L15 L16 L17 L18 L19 L20 L21 L22 L23 L24 L25 L26 L27 M5 M6 M7 M8 M9 M10 M11 M12 M13 M14 M15 M16 M17 M18 M19 M20 M21 M22 M23 M24 M25 M26 M27 N5 N6 N7 N8 N9 N10 N11 N12 N13 N14 N15 N16 N17 N18 N19 N20 N21 N22 N23 N24 N25 N26" showDropDown="0" showInputMessage="1" showErrorMessage="1" allowBlank="1" errorTitle="入力エラー" error="0以上の整数を入力してください" promptTitle="数量入力" prompt="設備の個数を入力（0以上の整数）" type="whole" operator="greaterThanOrEqual">
      <formula1>0</formula1>
    </dataValidation>
  </dataValidations>
  <pageMargins left="0.7" right="0.7" top="0.75" bottom="0.75" header="0.3" footer="0.3"/>
  <pageSetup orientation="portrait" paperSize="9" scale="98"/>
</worksheet>
</file>

<file path=xl/worksheets/sheet14.xml><?xml version="1.0" encoding="utf-8"?>
<worksheet xmlns="http://schemas.openxmlformats.org/spreadsheetml/2006/main">
  <sheetPr>
    <outlinePr summaryBelow="1" summaryRight="1"/>
    <pageSetUpPr/>
  </sheetPr>
  <dimension ref="A1:T39"/>
  <sheetViews>
    <sheetView workbookViewId="0">
      <selection activeCell="A1" sqref="A1"/>
    </sheetView>
  </sheetViews>
  <sheetFormatPr baseColWidth="8" defaultRowHeight="15"/>
  <cols>
    <col width="3.69921875" customWidth="1" min="1" max="1"/>
    <col width="20.59765625" customWidth="1" min="2" max="2"/>
    <col width="3.69921875" customWidth="1" min="3" max="3"/>
    <col width="5.69921875" customWidth="1" min="17" max="17"/>
  </cols>
  <sheetData>
    <row r="1" ht="18" customHeight="1">
      <c r="A1" s="451" t="inlineStr">
        <is>
          <t>共同住宅用自動火災報知設備</t>
        </is>
      </c>
      <c r="B1" s="451" t="n"/>
      <c r="C1" s="451" t="n"/>
      <c r="D1" s="451" t="n"/>
      <c r="E1" s="451" t="n"/>
      <c r="F1" s="451" t="n"/>
      <c r="G1" s="451" t="n"/>
      <c r="H1" s="451" t="n"/>
      <c r="I1" s="451" t="n"/>
      <c r="J1" s="451" t="n"/>
      <c r="K1" s="451" t="n"/>
      <c r="L1" s="451" t="n"/>
      <c r="M1" s="451" t="n"/>
      <c r="N1" s="451" t="n"/>
      <c r="O1" s="451" t="n"/>
      <c r="P1" s="451" t="n"/>
      <c r="Q1" s="452" t="inlineStr">
        <is>
          <t>④</t>
        </is>
      </c>
      <c r="R1" s="451" t="n"/>
      <c r="S1" s="451" t="n"/>
    </row>
    <row r="2" ht="18" customHeight="1">
      <c r="B2" s="451" t="n"/>
      <c r="C2" s="451" t="n"/>
      <c r="D2" s="451" t="n"/>
      <c r="E2" s="451" t="n"/>
      <c r="F2" s="451" t="n"/>
      <c r="G2" s="451" t="n"/>
      <c r="H2" s="451" t="n"/>
      <c r="I2" s="451" t="n"/>
      <c r="J2" s="451" t="n"/>
      <c r="K2" s="451" t="n"/>
      <c r="L2" s="451" t="n"/>
      <c r="M2" s="451" t="n"/>
      <c r="N2" s="451" t="n"/>
      <c r="O2" s="451" t="n"/>
      <c r="P2" s="451" t="n"/>
      <c r="Q2" s="452" t="inlineStr">
        <is>
          <t>専有部　その1</t>
        </is>
      </c>
      <c r="R2" s="453" t="n"/>
      <c r="S2" s="451" t="n"/>
      <c r="T2" s="451" t="n"/>
    </row>
    <row r="3" ht="22.05" customHeight="1">
      <c r="A3" s="454" t="inlineStr">
        <is>
          <t>警戒区域又は住戸等</t>
        </is>
      </c>
      <c r="C3" s="455" t="inlineStr">
        <is>
          <t>住戸用受信機</t>
        </is>
      </c>
      <c r="D3" s="456" t="inlineStr">
        <is>
          <t>感知器</t>
        </is>
      </c>
      <c r="M3" s="457" t="inlineStr">
        <is>
          <t>音声警報装置</t>
        </is>
      </c>
      <c r="N3" s="455" t="inlineStr">
        <is>
          <t>戸外表示器</t>
        </is>
      </c>
      <c r="O3" s="454" t="inlineStr">
        <is>
          <t>結果</t>
        </is>
      </c>
      <c r="Q3" s="454" t="inlineStr">
        <is>
          <t>備考</t>
        </is>
      </c>
    </row>
    <row r="4" ht="140.4" customHeight="1">
      <c r="A4" s="459" t="inlineStr">
        <is>
          <t>住棟受信機の表示番号</t>
        </is>
      </c>
      <c r="B4" s="460" t="inlineStr">
        <is>
          <t>名称等</t>
        </is>
      </c>
      <c r="D4" s="455" t="inlineStr">
        <is>
          <t>差動式スポット型</t>
        </is>
      </c>
      <c r="E4" s="455" t="inlineStr">
        <is>
          <t>定温式スポット型</t>
        </is>
      </c>
      <c r="F4" s="455" t="inlineStr">
        <is>
          <t>補償式スポット型</t>
        </is>
      </c>
      <c r="G4" s="455" t="inlineStr">
        <is>
          <t>熱アナログ式スポット型</t>
        </is>
      </c>
      <c r="H4" s="455" t="inlineStr">
        <is>
          <t>光電式スポット型</t>
        </is>
      </c>
      <c r="I4" s="455" t="inlineStr">
        <is>
          <t>光電アナログ式スポット型</t>
        </is>
      </c>
      <c r="J4" s="457" t="inlineStr">
        <is>
          <t>イオン化式スポット型</t>
        </is>
      </c>
      <c r="K4" s="461" t="inlineStr">
        <is>
          <t>イオン化アナログ式スポット型</t>
        </is>
      </c>
      <c r="L4" s="455" t="inlineStr">
        <is>
          <t>炎感知器</t>
        </is>
      </c>
      <c r="O4" s="455" t="inlineStr">
        <is>
          <t>外観試験</t>
        </is>
      </c>
      <c r="P4" s="455" t="inlineStr">
        <is>
          <t>機能試験</t>
        </is>
      </c>
    </row>
    <row r="5" ht="16.2" customHeight="1">
      <c r="A5" s="470" t="n"/>
      <c r="B5" s="471" t="inlineStr">
        <is>
          <t>701</t>
        </is>
      </c>
      <c r="C5" s="462" t="n">
        <v>1</v>
      </c>
      <c r="D5" s="472" t="n">
        <v>5</v>
      </c>
      <c r="E5" s="462" t="n">
        <v>1</v>
      </c>
      <c r="F5" s="472" t="n"/>
      <c r="G5" s="472" t="n"/>
      <c r="H5" s="472" t="n"/>
      <c r="I5" s="472" t="n"/>
      <c r="J5" s="473" t="n"/>
      <c r="K5" s="474" t="n"/>
      <c r="L5" s="472" t="n"/>
      <c r="M5" s="473" t="n"/>
      <c r="N5" s="462" t="n">
        <v>1</v>
      </c>
      <c r="O5" s="328">
        <f>IF(COUNTA(C5:N5)=0,"","〇")</f>
        <v/>
      </c>
      <c r="P5" s="328">
        <f>IF(COUNTA(C5:N5)=0,"","〇")</f>
        <v/>
      </c>
      <c r="Q5" s="475" t="n"/>
    </row>
    <row r="6" ht="15" customHeight="1">
      <c r="A6" s="462" t="n"/>
      <c r="B6" s="471" t="inlineStr">
        <is>
          <t>702</t>
        </is>
      </c>
      <c r="C6" s="462" t="n">
        <v>1</v>
      </c>
      <c r="D6" s="462" t="n">
        <v>5</v>
      </c>
      <c r="E6" s="462" t="n">
        <v>1</v>
      </c>
      <c r="F6" s="462" t="n"/>
      <c r="G6" s="462" t="n"/>
      <c r="H6" s="462" t="n"/>
      <c r="I6" s="462" t="n"/>
      <c r="J6" s="462" t="n"/>
      <c r="K6" s="462" t="n"/>
      <c r="L6" s="462" t="n"/>
      <c r="M6" s="462" t="n"/>
      <c r="N6" s="462" t="n">
        <v>1</v>
      </c>
      <c r="O6" s="328">
        <f>IF(COUNTA(C6:N6)=0,"","〇")</f>
        <v/>
      </c>
      <c r="P6" s="328">
        <f>IF(COUNTA(C6:N6)=0,"","〇")</f>
        <v/>
      </c>
      <c r="Q6" s="462" t="n"/>
    </row>
    <row r="7" ht="15" customHeight="1">
      <c r="A7" s="462" t="n"/>
      <c r="B7" s="471" t="inlineStr">
        <is>
          <t>703</t>
        </is>
      </c>
      <c r="C7" s="462" t="n">
        <v>1</v>
      </c>
      <c r="D7" s="462" t="n">
        <v>5</v>
      </c>
      <c r="E7" s="462" t="n">
        <v>1</v>
      </c>
      <c r="F7" s="462" t="n"/>
      <c r="G7" s="462" t="n"/>
      <c r="H7" s="462" t="n"/>
      <c r="I7" s="462" t="n"/>
      <c r="J7" s="462" t="n"/>
      <c r="K7" s="462" t="n"/>
      <c r="L7" s="462" t="n"/>
      <c r="M7" s="462" t="n"/>
      <c r="N7" s="462" t="n">
        <v>1</v>
      </c>
      <c r="O7" s="328">
        <f>IF(COUNTA(C7:N7)=0,"","〇")</f>
        <v/>
      </c>
      <c r="P7" s="328">
        <f>IF(COUNTA(C7:N7)=0,"","〇")</f>
        <v/>
      </c>
      <c r="Q7" s="462" t="n"/>
    </row>
    <row r="8" ht="15" customHeight="1">
      <c r="A8" s="462" t="n"/>
      <c r="B8" s="471" t="inlineStr">
        <is>
          <t>705</t>
        </is>
      </c>
      <c r="C8" s="462" t="n">
        <v>1</v>
      </c>
      <c r="D8" s="462" t="n">
        <v>5</v>
      </c>
      <c r="E8" s="462" t="n">
        <v>1</v>
      </c>
      <c r="F8" s="462" t="n"/>
      <c r="G8" s="462" t="n"/>
      <c r="H8" s="462" t="n"/>
      <c r="I8" s="462" t="n"/>
      <c r="J8" s="462" t="n"/>
      <c r="K8" s="462" t="n"/>
      <c r="L8" s="462" t="n"/>
      <c r="M8" s="462" t="n"/>
      <c r="N8" s="462" t="n">
        <v>1</v>
      </c>
      <c r="O8" s="328">
        <f>IF(COUNTA(C8:N8)=0,"","〇")</f>
        <v/>
      </c>
      <c r="P8" s="328">
        <f>IF(COUNTA(C8:N8)=0,"","〇")</f>
        <v/>
      </c>
      <c r="Q8" s="462" t="n"/>
    </row>
    <row r="9" ht="15" customHeight="1">
      <c r="A9" s="462" t="n"/>
      <c r="B9" s="471" t="inlineStr">
        <is>
          <t>801</t>
        </is>
      </c>
      <c r="C9" s="462" t="n">
        <v>1</v>
      </c>
      <c r="D9" s="462" t="n">
        <v>4</v>
      </c>
      <c r="E9" s="462" t="n">
        <v>1</v>
      </c>
      <c r="F9" s="462" t="n"/>
      <c r="G9" s="462" t="n"/>
      <c r="H9" s="462" t="n"/>
      <c r="I9" s="462" t="n"/>
      <c r="J9" s="462" t="n"/>
      <c r="K9" s="462" t="n"/>
      <c r="L9" s="462" t="n"/>
      <c r="M9" s="462" t="n"/>
      <c r="N9" s="462" t="n">
        <v>1</v>
      </c>
      <c r="O9" s="328">
        <f>IF(COUNTA(C9:N9)=0,"","〇")</f>
        <v/>
      </c>
      <c r="P9" s="328">
        <f>IF(COUNTA(C9:N9)=0,"","〇")</f>
        <v/>
      </c>
      <c r="Q9" s="462" t="n"/>
    </row>
    <row r="10" ht="15" customHeight="1">
      <c r="A10" s="462" t="n"/>
      <c r="B10" s="471" t="inlineStr">
        <is>
          <t>802</t>
        </is>
      </c>
      <c r="C10" s="462" t="n">
        <v>1</v>
      </c>
      <c r="D10" s="462" t="n">
        <v>5</v>
      </c>
      <c r="E10" s="462" t="n">
        <v>1</v>
      </c>
      <c r="F10" s="462" t="n"/>
      <c r="G10" s="462" t="n"/>
      <c r="H10" s="462" t="n"/>
      <c r="I10" s="462" t="n"/>
      <c r="J10" s="462" t="n"/>
      <c r="K10" s="462" t="n"/>
      <c r="L10" s="462" t="n"/>
      <c r="M10" s="462" t="n"/>
      <c r="N10" s="462" t="n">
        <v>1</v>
      </c>
      <c r="O10" s="328">
        <f>IF(COUNTA(C10:N10)=0,"","〇")</f>
        <v/>
      </c>
      <c r="P10" s="328">
        <f>IF(COUNTA(C10:N10)=0,"","〇")</f>
        <v/>
      </c>
      <c r="Q10" s="462" t="n"/>
    </row>
    <row r="11" ht="15" customHeight="1">
      <c r="A11" s="462" t="n"/>
      <c r="B11" s="471" t="inlineStr">
        <is>
          <t>803</t>
        </is>
      </c>
      <c r="C11" s="462" t="n">
        <v>1</v>
      </c>
      <c r="D11" s="462" t="n">
        <v>5</v>
      </c>
      <c r="E11" s="462" t="n">
        <v>1</v>
      </c>
      <c r="F11" s="462" t="n"/>
      <c r="G11" s="462" t="n"/>
      <c r="H11" s="462" t="n"/>
      <c r="I11" s="462" t="n"/>
      <c r="J11" s="462" t="n"/>
      <c r="K11" s="462" t="n"/>
      <c r="L11" s="462" t="n"/>
      <c r="M11" s="462" t="n"/>
      <c r="N11" s="462" t="n">
        <v>1</v>
      </c>
      <c r="O11" s="328">
        <f>IF(COUNTA(C11:N11)=0,"","〇")</f>
        <v/>
      </c>
      <c r="P11" s="328">
        <f>IF(COUNTA(C11:N11)=0,"","〇")</f>
        <v/>
      </c>
      <c r="Q11" s="462" t="n"/>
    </row>
    <row r="12" ht="15" customHeight="1">
      <c r="A12" s="462" t="n"/>
      <c r="B12" s="471" t="inlineStr">
        <is>
          <t>805</t>
        </is>
      </c>
      <c r="C12" s="462" t="n">
        <v>1</v>
      </c>
      <c r="D12" s="462" t="n">
        <v>4</v>
      </c>
      <c r="E12" s="462" t="n">
        <v>1</v>
      </c>
      <c r="F12" s="462" t="n"/>
      <c r="G12" s="462" t="n"/>
      <c r="H12" s="462" t="n"/>
      <c r="I12" s="462" t="n"/>
      <c r="J12" s="462" t="n"/>
      <c r="K12" s="462" t="n"/>
      <c r="L12" s="462" t="n"/>
      <c r="M12" s="462" t="n"/>
      <c r="N12" s="462" t="n">
        <v>1</v>
      </c>
      <c r="O12" s="328">
        <f>IF(COUNTA(C12:N12)=0,"","〇")</f>
        <v/>
      </c>
      <c r="P12" s="328">
        <f>IF(COUNTA(C12:N12)=0,"","〇")</f>
        <v/>
      </c>
      <c r="Q12" s="462" t="n"/>
    </row>
    <row r="13" ht="15" customHeight="1">
      <c r="A13" s="462" t="n"/>
      <c r="B13" s="471" t="inlineStr">
        <is>
          <t>901</t>
        </is>
      </c>
      <c r="C13" s="462" t="n">
        <v>1</v>
      </c>
      <c r="D13" s="462" t="n">
        <v>4</v>
      </c>
      <c r="E13" s="462" t="n">
        <v>1</v>
      </c>
      <c r="F13" s="462" t="n"/>
      <c r="G13" s="462" t="n"/>
      <c r="H13" s="462" t="n"/>
      <c r="I13" s="462" t="n"/>
      <c r="J13" s="462" t="n"/>
      <c r="K13" s="462" t="n"/>
      <c r="L13" s="462" t="n"/>
      <c r="M13" s="462" t="n"/>
      <c r="N13" s="462" t="n">
        <v>1</v>
      </c>
      <c r="O13" s="328">
        <f>IF(COUNTA(C13:N13)=0,"","〇")</f>
        <v/>
      </c>
      <c r="P13" s="328">
        <f>IF(COUNTA(C13:N13)=0,"","〇")</f>
        <v/>
      </c>
      <c r="Q13" s="462" t="n"/>
    </row>
    <row r="14" ht="15" customHeight="1">
      <c r="A14" s="462" t="n"/>
      <c r="B14" s="471" t="inlineStr">
        <is>
          <t>902</t>
        </is>
      </c>
      <c r="C14" s="462" t="n">
        <v>1</v>
      </c>
      <c r="D14" s="462" t="n">
        <v>4</v>
      </c>
      <c r="E14" s="462" t="n">
        <v>1</v>
      </c>
      <c r="F14" s="462" t="n"/>
      <c r="G14" s="462" t="n"/>
      <c r="H14" s="462" t="n"/>
      <c r="I14" s="462" t="n"/>
      <c r="J14" s="462" t="n"/>
      <c r="K14" s="462" t="n"/>
      <c r="L14" s="462" t="n"/>
      <c r="M14" s="462" t="n"/>
      <c r="N14" s="462" t="n">
        <v>1</v>
      </c>
      <c r="O14" s="328">
        <f>IF(COUNTA(C14:N14)=0,"","〇")</f>
        <v/>
      </c>
      <c r="P14" s="328">
        <f>IF(COUNTA(C14:N14)=0,"","〇")</f>
        <v/>
      </c>
      <c r="Q14" s="462" t="n"/>
    </row>
    <row r="15" ht="15" customHeight="1">
      <c r="A15" s="462" t="n"/>
      <c r="B15" s="471" t="inlineStr">
        <is>
          <t>903</t>
        </is>
      </c>
      <c r="C15" s="462" t="n">
        <v>1</v>
      </c>
      <c r="D15" s="462" t="n">
        <v>4</v>
      </c>
      <c r="E15" s="462" t="n">
        <v>1</v>
      </c>
      <c r="F15" s="462" t="n"/>
      <c r="G15" s="462" t="n"/>
      <c r="H15" s="462" t="n"/>
      <c r="I15" s="462" t="n"/>
      <c r="J15" s="462" t="n"/>
      <c r="K15" s="462" t="n"/>
      <c r="L15" s="462" t="n"/>
      <c r="M15" s="462" t="n"/>
      <c r="N15" s="462" t="n">
        <v>1</v>
      </c>
      <c r="O15" s="328">
        <f>IF(COUNTA(C15:N15)=0,"","〇")</f>
        <v/>
      </c>
      <c r="P15" s="328">
        <f>IF(COUNTA(C15:N15)=0,"","〇")</f>
        <v/>
      </c>
      <c r="Q15" s="462" t="n"/>
    </row>
    <row r="16" ht="15" customHeight="1">
      <c r="A16" s="462" t="n"/>
      <c r="B16" s="471" t="inlineStr">
        <is>
          <t>905</t>
        </is>
      </c>
      <c r="C16" s="462" t="n">
        <v>1</v>
      </c>
      <c r="D16" s="462" t="n">
        <v>4</v>
      </c>
      <c r="E16" s="462" t="n">
        <v>1</v>
      </c>
      <c r="F16" s="462" t="n"/>
      <c r="G16" s="462" t="n"/>
      <c r="H16" s="462" t="n"/>
      <c r="I16" s="462" t="n"/>
      <c r="J16" s="462" t="n"/>
      <c r="K16" s="462" t="n"/>
      <c r="L16" s="462" t="n"/>
      <c r="M16" s="462" t="n"/>
      <c r="N16" s="462" t="n">
        <v>1</v>
      </c>
      <c r="O16" s="328">
        <f>IF(COUNTA(C16:N16)=0,"","〇")</f>
        <v/>
      </c>
      <c r="P16" s="328">
        <f>IF(COUNTA(C16:N16)=0,"","〇")</f>
        <v/>
      </c>
      <c r="Q16" s="462" t="n"/>
    </row>
    <row r="17" ht="15" customHeight="1">
      <c r="A17" s="462" t="n"/>
      <c r="B17" s="471" t="inlineStr">
        <is>
          <t>1001</t>
        </is>
      </c>
      <c r="C17" s="462" t="n">
        <v>1</v>
      </c>
      <c r="D17" s="462" t="n">
        <v>4</v>
      </c>
      <c r="E17" s="462" t="n">
        <v>1</v>
      </c>
      <c r="F17" s="462" t="n"/>
      <c r="G17" s="462" t="n"/>
      <c r="H17" s="462" t="n"/>
      <c r="I17" s="462" t="n"/>
      <c r="J17" s="462" t="n"/>
      <c r="K17" s="462" t="n"/>
      <c r="L17" s="462" t="n"/>
      <c r="M17" s="462" t="n"/>
      <c r="N17" s="462" t="n">
        <v>1</v>
      </c>
      <c r="O17" s="328">
        <f>IF(COUNTA(C17:N17)=0,"","〇")</f>
        <v/>
      </c>
      <c r="P17" s="328">
        <f>IF(COUNTA(C17:N17)=0,"","〇")</f>
        <v/>
      </c>
      <c r="Q17" s="462" t="n"/>
    </row>
    <row r="18" ht="15" customHeight="1">
      <c r="A18" s="462" t="n"/>
      <c r="B18" s="471" t="inlineStr">
        <is>
          <t>1002</t>
        </is>
      </c>
      <c r="C18" s="462" t="n">
        <v>1</v>
      </c>
      <c r="D18" s="462" t="n">
        <v>4</v>
      </c>
      <c r="E18" s="462" t="n">
        <v>1</v>
      </c>
      <c r="F18" s="462" t="n"/>
      <c r="G18" s="462" t="n"/>
      <c r="H18" s="462" t="n"/>
      <c r="I18" s="462" t="n"/>
      <c r="J18" s="462" t="n"/>
      <c r="K18" s="462" t="n"/>
      <c r="L18" s="462" t="n"/>
      <c r="M18" s="462" t="n"/>
      <c r="N18" s="462" t="n">
        <v>1</v>
      </c>
      <c r="O18" s="328">
        <f>IF(COUNTA(C18:N18)=0,"","〇")</f>
        <v/>
      </c>
      <c r="P18" s="328">
        <f>IF(COUNTA(C18:N18)=0,"","〇")</f>
        <v/>
      </c>
      <c r="Q18" s="462" t="n"/>
    </row>
    <row r="19" ht="15" customHeight="1">
      <c r="A19" s="462" t="n"/>
      <c r="B19" s="471" t="inlineStr">
        <is>
          <t>1003</t>
        </is>
      </c>
      <c r="C19" s="462" t="n">
        <v>1</v>
      </c>
      <c r="D19" s="462" t="n">
        <v>4</v>
      </c>
      <c r="E19" s="462" t="n">
        <v>1</v>
      </c>
      <c r="F19" s="462" t="n"/>
      <c r="G19" s="462" t="n"/>
      <c r="H19" s="462" t="n"/>
      <c r="I19" s="462" t="n"/>
      <c r="J19" s="462" t="n"/>
      <c r="K19" s="462" t="n"/>
      <c r="L19" s="462" t="n"/>
      <c r="M19" s="462" t="n"/>
      <c r="N19" s="462" t="n">
        <v>1</v>
      </c>
      <c r="O19" s="328">
        <f>IF(COUNTA(C19:N19)=0,"","〇")</f>
        <v/>
      </c>
      <c r="P19" s="328">
        <f>IF(COUNTA(C19:N19)=0,"","〇")</f>
        <v/>
      </c>
      <c r="Q19" s="462" t="n"/>
    </row>
    <row r="20" ht="15" customHeight="1">
      <c r="A20" s="462" t="n"/>
      <c r="B20" s="471" t="inlineStr">
        <is>
          <t>1005</t>
        </is>
      </c>
      <c r="C20" s="462" t="n">
        <v>1</v>
      </c>
      <c r="D20" s="462" t="n">
        <v>4</v>
      </c>
      <c r="E20" s="462" t="n">
        <v>1</v>
      </c>
      <c r="F20" s="462" t="n"/>
      <c r="G20" s="462" t="n"/>
      <c r="H20" s="462" t="n"/>
      <c r="I20" s="462" t="n"/>
      <c r="J20" s="462" t="n"/>
      <c r="K20" s="462" t="n"/>
      <c r="L20" s="462" t="n"/>
      <c r="M20" s="462" t="n"/>
      <c r="N20" s="462" t="n">
        <v>1</v>
      </c>
      <c r="O20" s="328">
        <f>IF(COUNTA(C20:N20)=0,"","〇")</f>
        <v/>
      </c>
      <c r="P20" s="328">
        <f>IF(COUNTA(C20:N20)=0,"","〇")</f>
        <v/>
      </c>
      <c r="Q20" s="462" t="n"/>
    </row>
    <row r="21" ht="15" customHeight="1">
      <c r="A21" s="462" t="n"/>
      <c r="B21" s="471" t="inlineStr">
        <is>
          <t>1101</t>
        </is>
      </c>
      <c r="C21" s="462" t="n">
        <v>1</v>
      </c>
      <c r="D21" s="462" t="n">
        <v>4</v>
      </c>
      <c r="E21" s="462" t="n">
        <v>1</v>
      </c>
      <c r="F21" s="462" t="n"/>
      <c r="G21" s="462" t="n"/>
      <c r="H21" s="462" t="n"/>
      <c r="I21" s="462" t="n"/>
      <c r="J21" s="462" t="n"/>
      <c r="K21" s="462" t="n"/>
      <c r="L21" s="462" t="n"/>
      <c r="M21" s="462" t="n"/>
      <c r="N21" s="462" t="n">
        <v>1</v>
      </c>
      <c r="O21" s="328">
        <f>IF(COUNTA(C21:N21)=0,"","〇")</f>
        <v/>
      </c>
      <c r="P21" s="328">
        <f>IF(COUNTA(C21:N21)=0,"","〇")</f>
        <v/>
      </c>
      <c r="Q21" s="462" t="n"/>
    </row>
    <row r="22" ht="15" customHeight="1">
      <c r="A22" s="462" t="n"/>
      <c r="B22" s="471" t="inlineStr">
        <is>
          <t>1102</t>
        </is>
      </c>
      <c r="C22" s="462" t="n">
        <v>1</v>
      </c>
      <c r="D22" s="462" t="n">
        <v>4</v>
      </c>
      <c r="E22" s="462" t="n">
        <v>1</v>
      </c>
      <c r="F22" s="462" t="n"/>
      <c r="G22" s="462" t="n"/>
      <c r="H22" s="462" t="n"/>
      <c r="I22" s="462" t="n"/>
      <c r="J22" s="462" t="n"/>
      <c r="K22" s="462" t="n"/>
      <c r="L22" s="462" t="n"/>
      <c r="M22" s="462" t="n"/>
      <c r="N22" s="462" t="n">
        <v>1</v>
      </c>
      <c r="O22" s="328">
        <f>IF(COUNTA(C22:N22)=0,"","〇")</f>
        <v/>
      </c>
      <c r="P22" s="328">
        <f>IF(COUNTA(C22:N22)=0,"","〇")</f>
        <v/>
      </c>
      <c r="Q22" s="462" t="n"/>
    </row>
    <row r="23" ht="15" customHeight="1">
      <c r="A23" s="462" t="n"/>
      <c r="B23" s="471" t="inlineStr">
        <is>
          <t>1103</t>
        </is>
      </c>
      <c r="C23" s="462" t="n">
        <v>1</v>
      </c>
      <c r="D23" s="462" t="n">
        <v>4</v>
      </c>
      <c r="E23" s="462" t="n">
        <v>1</v>
      </c>
      <c r="F23" s="462" t="n"/>
      <c r="G23" s="462" t="n"/>
      <c r="H23" s="462" t="n"/>
      <c r="I23" s="462" t="n"/>
      <c r="J23" s="462" t="n"/>
      <c r="K23" s="462" t="n"/>
      <c r="L23" s="462" t="n"/>
      <c r="M23" s="462" t="n"/>
      <c r="N23" s="462" t="n">
        <v>1</v>
      </c>
      <c r="O23" s="328">
        <f>IF(COUNTA(C23:N23)=0,"","〇")</f>
        <v/>
      </c>
      <c r="P23" s="328">
        <f>IF(COUNTA(C23:N23)=0,"","〇")</f>
        <v/>
      </c>
      <c r="Q23" s="462" t="n"/>
    </row>
    <row r="24" ht="15" customHeight="1">
      <c r="A24" s="462" t="n"/>
      <c r="B24" s="471" t="inlineStr">
        <is>
          <t>1105</t>
        </is>
      </c>
      <c r="C24" s="462" t="n">
        <v>1</v>
      </c>
      <c r="D24" s="462" t="n">
        <v>5</v>
      </c>
      <c r="E24" s="462" t="n">
        <v>1</v>
      </c>
      <c r="F24" s="462" t="n"/>
      <c r="G24" s="462" t="n"/>
      <c r="H24" s="462" t="n"/>
      <c r="I24" s="462" t="n"/>
      <c r="J24" s="462" t="n"/>
      <c r="K24" s="462" t="n"/>
      <c r="L24" s="462" t="n"/>
      <c r="M24" s="462" t="n"/>
      <c r="N24" s="462" t="n">
        <v>1</v>
      </c>
      <c r="O24" s="328">
        <f>IF(COUNTA(C24:N24)=0,"","〇")</f>
        <v/>
      </c>
      <c r="P24" s="328">
        <f>IF(COUNTA(C24:N24)=0,"","〇")</f>
        <v/>
      </c>
      <c r="Q24" s="462" t="n"/>
    </row>
    <row r="25" ht="15" customHeight="1">
      <c r="A25" s="462" t="n"/>
      <c r="B25" s="471" t="n"/>
      <c r="C25" s="462" t="n"/>
      <c r="D25" s="462" t="n"/>
      <c r="E25" s="462" t="n"/>
      <c r="F25" s="462" t="n"/>
      <c r="G25" s="462" t="n"/>
      <c r="H25" s="462" t="n"/>
      <c r="I25" s="462" t="n"/>
      <c r="J25" s="462" t="n"/>
      <c r="K25" s="462" t="n"/>
      <c r="L25" s="462" t="n"/>
      <c r="M25" s="462" t="n"/>
      <c r="N25" s="462" t="n"/>
      <c r="O25" s="328">
        <f>IF(COUNTA(C25:N25)=0,"","〇")</f>
        <v/>
      </c>
      <c r="P25" s="328">
        <f>IF(COUNTA(C25:N25)=0,"","〇")</f>
        <v/>
      </c>
      <c r="Q25" s="462" t="n"/>
    </row>
    <row r="26" ht="15" customHeight="1">
      <c r="A26" s="462" t="n"/>
      <c r="B26" s="471" t="n"/>
      <c r="C26" s="462" t="n"/>
      <c r="D26" s="462" t="n"/>
      <c r="E26" s="462" t="n"/>
      <c r="F26" s="462" t="n"/>
      <c r="G26" s="462" t="n"/>
      <c r="H26" s="462" t="n"/>
      <c r="I26" s="462" t="n"/>
      <c r="J26" s="462" t="n"/>
      <c r="K26" s="462" t="n"/>
      <c r="L26" s="462" t="n"/>
      <c r="M26" s="462" t="n"/>
      <c r="N26" s="462" t="n"/>
      <c r="O26" s="328">
        <f>IF(COUNTA(C26:N26)=0,"","〇")</f>
        <v/>
      </c>
      <c r="P26" s="328">
        <f>IF(COUNTA(C26:N26)=0,"","〇")</f>
        <v/>
      </c>
      <c r="Q26" s="462" t="n"/>
    </row>
    <row r="27" ht="15" customHeight="1">
      <c r="A27" s="462" t="n"/>
      <c r="B27" s="471" t="n"/>
      <c r="C27" s="462" t="n"/>
      <c r="D27" s="462" t="n"/>
      <c r="E27" s="462" t="n"/>
      <c r="F27" s="462" t="n"/>
      <c r="G27" s="462" t="n"/>
      <c r="H27" s="462" t="n"/>
      <c r="I27" s="462" t="n"/>
      <c r="J27" s="462" t="n"/>
      <c r="K27" s="462" t="n"/>
      <c r="L27" s="462" t="n"/>
      <c r="M27" s="462" t="n"/>
      <c r="N27" s="462" t="n"/>
      <c r="O27" s="328">
        <f>IF(COUNTA(C27:N27)=0,"","〇")</f>
        <v/>
      </c>
      <c r="P27" s="328">
        <f>IF(COUNTA(C27:N27)=0,"","〇")</f>
        <v/>
      </c>
      <c r="Q27" s="462" t="n"/>
    </row>
    <row r="28" ht="15" customHeight="1">
      <c r="A28" s="454" t="inlineStr">
        <is>
          <t>小計</t>
        </is>
      </c>
      <c r="C28" s="328">
        <f>SUM(C5:C27)</f>
        <v/>
      </c>
      <c r="D28" s="328">
        <f>SUM(D5:D27)</f>
        <v/>
      </c>
      <c r="E28" s="328">
        <f>SUM(E5:E27)</f>
        <v/>
      </c>
      <c r="F28" s="328" t="n"/>
      <c r="G28" s="328" t="n"/>
      <c r="H28" s="328" t="n"/>
      <c r="I28" s="328" t="n"/>
      <c r="J28" s="328" t="n"/>
      <c r="K28" s="328" t="n"/>
      <c r="L28" s="328" t="n"/>
      <c r="M28" s="328" t="n"/>
      <c r="N28" s="328">
        <f>SUM(N5:N27)</f>
        <v/>
      </c>
      <c r="O28" s="328" t="n"/>
      <c r="P28" s="328" t="n"/>
      <c r="Q28" s="328" t="n"/>
    </row>
    <row r="29" ht="15" customHeight="1">
      <c r="A29" s="231" t="inlineStr">
        <is>
          <t>備考</t>
        </is>
      </c>
      <c r="B29" s="192" t="n"/>
      <c r="C29" s="233" t="n"/>
      <c r="D29" s="465" t="n"/>
      <c r="E29" s="465" t="n"/>
      <c r="F29" s="465" t="n"/>
      <c r="G29" s="465" t="n"/>
      <c r="H29" s="465" t="n"/>
      <c r="I29" s="465" t="n"/>
      <c r="J29" s="465" t="n"/>
      <c r="K29" s="465" t="n"/>
      <c r="L29" s="465" t="n"/>
      <c r="M29" s="465" t="n"/>
      <c r="N29" s="465" t="n"/>
      <c r="O29" s="465" t="n"/>
      <c r="P29" s="465" t="n"/>
      <c r="Q29" s="466" t="n"/>
    </row>
    <row r="30" ht="15" customHeight="1">
      <c r="B30" s="236" t="n"/>
      <c r="N30" s="346" t="n"/>
      <c r="O30" s="346" t="n"/>
      <c r="P30" s="346" t="n"/>
      <c r="Q30" s="468" t="n"/>
    </row>
    <row r="31" ht="15" customHeight="1">
      <c r="B31" s="467" t="n"/>
      <c r="C31" s="346" t="n"/>
      <c r="D31" s="346" t="n"/>
      <c r="E31" s="346" t="n"/>
      <c r="F31" s="346" t="n"/>
      <c r="G31" s="346" t="n"/>
      <c r="H31" s="346" t="n"/>
      <c r="I31" s="346" t="n"/>
      <c r="J31" s="346" t="n"/>
      <c r="K31" s="346" t="n"/>
      <c r="L31" s="346" t="n"/>
      <c r="M31" s="346" t="n"/>
      <c r="N31" s="346" t="n"/>
      <c r="O31" s="346" t="n"/>
      <c r="P31" s="346" t="n"/>
      <c r="Q31" s="468" t="n"/>
    </row>
    <row r="32" ht="15" customHeight="1">
      <c r="B32" s="467" t="n"/>
      <c r="C32" s="346" t="n"/>
      <c r="D32" s="346" t="n"/>
      <c r="E32" s="346" t="n"/>
      <c r="F32" s="346" t="n"/>
      <c r="G32" s="346" t="n"/>
      <c r="H32" s="346" t="n"/>
      <c r="I32" s="346" t="n"/>
      <c r="J32" s="346" t="n"/>
      <c r="K32" s="346" t="n"/>
      <c r="L32" s="346" t="n"/>
      <c r="M32" s="346" t="n"/>
      <c r="N32" s="346" t="n"/>
      <c r="O32" s="346" t="n"/>
      <c r="P32" s="346" t="n"/>
      <c r="Q32" s="468" t="n"/>
    </row>
    <row r="33" ht="15" customHeight="1">
      <c r="B33" s="469" t="n"/>
    </row>
    <row r="34" ht="15" customHeight="1">
      <c r="A34" s="102" t="inlineStr">
        <is>
          <t>備考１　この用紙の大きさは、日本産業規格Ａ４とすること。</t>
        </is>
      </c>
      <c r="B34" s="102" t="n"/>
      <c r="C34" s="102" t="n"/>
      <c r="D34" s="102" t="n"/>
      <c r="E34" s="102" t="n"/>
      <c r="F34" s="102" t="n"/>
      <c r="G34" s="102" t="n"/>
      <c r="H34" s="102" t="n"/>
      <c r="I34" s="102" t="n"/>
      <c r="J34" s="102" t="n"/>
      <c r="K34" s="102" t="n"/>
      <c r="L34" s="102" t="n"/>
      <c r="M34" s="102" t="n"/>
      <c r="N34" s="102" t="n"/>
      <c r="O34" s="102" t="n"/>
      <c r="P34" s="102" t="n"/>
      <c r="Q34" s="102" t="n"/>
      <c r="R34" s="102" t="n"/>
      <c r="S34" s="102" t="n"/>
      <c r="T34" s="102" t="n"/>
    </row>
    <row r="35" ht="15" customHeight="1">
      <c r="A35" s="379" t="inlineStr">
        <is>
          <t xml:space="preserve">　　２　共用部分にあっては住棟受信機の表示番号、警戒区域ごとに、住戸等にあっては住戸等ごとに各欄に掲げ
　　　　る設備等の個数を記入すること。</t>
        </is>
      </c>
      <c r="R35" s="237" t="n"/>
      <c r="S35" s="102" t="n"/>
      <c r="T35" s="102" t="n"/>
    </row>
    <row r="36" ht="15" customHeight="1">
      <c r="R36" s="102" t="n"/>
    </row>
    <row r="37" ht="15" customHeight="1">
      <c r="A37" s="379" t="inlineStr">
        <is>
          <t xml:space="preserve">　　３　結果の欄には、住棟受信機の表示番号、警戒区域又は住戸等ごとに各欄に掲げる設備等の試験結果が全て
　　　　良の場合は○、一部でも否である場合は×を記入すること。</t>
        </is>
      </c>
      <c r="R37" s="102" t="n"/>
      <c r="S37" s="102" t="n"/>
      <c r="T37" s="102" t="n"/>
    </row>
    <row r="38" ht="15" customHeight="1">
      <c r="R38" s="102" t="n"/>
      <c r="S38" s="450" t="n"/>
      <c r="T38" s="450" t="n"/>
    </row>
    <row r="39" ht="15" customHeight="1">
      <c r="A39" s="450" t="n"/>
      <c r="B39" s="450" t="n"/>
      <c r="C39" s="450" t="n"/>
      <c r="D39" s="450" t="n"/>
      <c r="E39" s="450" t="n"/>
      <c r="F39" s="450" t="n"/>
      <c r="G39" s="450" t="n"/>
      <c r="H39" s="450" t="n"/>
      <c r="I39" s="450" t="n"/>
      <c r="J39" s="450" t="n"/>
      <c r="K39" s="450" t="n"/>
      <c r="L39" s="450" t="n"/>
      <c r="M39" s="450" t="n"/>
      <c r="N39" s="450" t="n"/>
      <c r="O39" s="450" t="n"/>
      <c r="P39" s="450" t="n"/>
      <c r="Q39" s="450" t="n"/>
      <c r="R39" s="450" t="n"/>
      <c r="S39" s="450" t="n"/>
      <c r="T39" s="450" t="n"/>
    </row>
  </sheetData>
  <sheetProtection selectLockedCells="0" selectUnlockedCells="0" sheet="1" objects="1" insertRows="1" insertHyperlinks="1" autoFilter="1" scenarios="1" formatColumns="0" deleteColumns="1" insertColumns="1" pivotTables="1" deleteRows="1" formatCells="0" formatRows="0" sort="1"/>
  <mergeCells count="13">
    <mergeCell ref="A35:Q36"/>
    <mergeCell ref="A3:B3"/>
    <mergeCell ref="O3:P3"/>
    <mergeCell ref="A29:A33"/>
    <mergeCell ref="C3:C4"/>
    <mergeCell ref="M3:M4"/>
    <mergeCell ref="A28:B28"/>
    <mergeCell ref="Q3:Q4"/>
    <mergeCell ref="A37:Q38"/>
    <mergeCell ref="N3:N4"/>
    <mergeCell ref="D3:L3"/>
    <mergeCell ref="B30:M30"/>
    <mergeCell ref="B33:Q33"/>
  </mergeCells>
  <dataValidations count="1">
    <dataValidation sqref="C5 C6 C7 C8 C9 C10 C11 C12 C13 C14 C15 C16 C17 C18 C19 C20 C21 C22 C23 C24 C25 C26 C27 D5 D6 D7 D8 D9 D10 D11 D12 D13 D14 D15 D16 D17 D18 D19 D20 D21 D22 D23 D24 D25 D26 D27 E5 E6 E7 E8 E9 E10 E11 E12 E13 E14 E15 E16 E17 E18 E19 E20 E21 E22 E23 E24 E25 E26 E27 F5 F6 F7 F8 F9 F10 F11 F12 F13 F14 F15 F16 F17 F18 F19 F20 F21 F22 F23 F24 F25 F26 F27 G5 G6 G7 G8 G9 G10 G11 G12 G13 G14 G15 G16 G17 G18 G19 G20 G21 G22 G23 G24 G25 G26 G27 H5 H6 H7 H8 H9 H10 H11 H12 H13 H14 H15 H16 H17 H18 H19 H20 H21 H22 H23 H24 H25 H26 H27 I5 I6 I7 I8 I9 I10 I11 I12 I13 I14 I15 I16 I17 I18 I19 I20 I21 I22 I23 I24 I25 I26 I27 J5 J6 J7 J8 J9 J10 J11 J12 J13 J14 J15 J16 J17 J18 J19 J20 J21 J22 J23 J24 J25 J26 J27 K5 K6 K7 K8 K9 K10 K11 K12 K13 K14 K15 K16 K17 K18 K19 K20 K21 K22 K23 K24 K25 K26 K27 L5 L6 L7 L8 L9 L10 L11 L12 L13 L14 L15 L16 L17 L18 L19 L20 L21 L22 L23 L24 L25 L26 L27 M5 M6 M7 M8 M9 M10 M11 M12 M13 M14 M15 M16 M17 M18 M19 M20 M21 M22 M23 M24 M25 M26 M27 N5 N6 N7 N8 N9 N10 N11 N12 N13 N14 N15 N16 N17 N18 N19 N20 N21 N22 N23 N24 N25 N26 N27" showDropDown="0" showInputMessage="1" showErrorMessage="1" allowBlank="1" errorTitle="入力エラー" error="0以上の整数を入力してください" promptTitle="数量入力" prompt="設備の個数を入力（0以上の整数）" type="whole" operator="greaterThanOrEqual">
      <formula1>0</formula1>
    </dataValidation>
  </dataValidations>
  <pageMargins left="0.7" right="0.7" top="0.75" bottom="0.75" header="0.3" footer="0.3"/>
  <pageSetup orientation="portrait" paperSize="9" scale="98"/>
</worksheet>
</file>

<file path=xl/worksheets/sheet15.xml><?xml version="1.0" encoding="utf-8"?>
<worksheet xmlns="http://schemas.openxmlformats.org/spreadsheetml/2006/main">
  <sheetPr>
    <outlinePr summaryBelow="1" summaryRight="1"/>
    <pageSetUpPr/>
  </sheetPr>
  <dimension ref="A1:T40"/>
  <sheetViews>
    <sheetView workbookViewId="0">
      <selection activeCell="A1" sqref="A1"/>
    </sheetView>
  </sheetViews>
  <sheetFormatPr baseColWidth="8" defaultRowHeight="15"/>
  <cols>
    <col width="3.69921875" customWidth="1" min="1" max="1"/>
    <col width="20.59765625" customWidth="1" min="2" max="2"/>
    <col width="3.69921875" customWidth="1" min="3" max="3"/>
    <col width="5.69921875" customWidth="1" min="17" max="17"/>
  </cols>
  <sheetData>
    <row r="1" ht="18" customHeight="1">
      <c r="A1" s="451" t="inlineStr">
        <is>
          <t>共同住宅用自動火災報知設備</t>
        </is>
      </c>
      <c r="B1" s="451" t="n"/>
      <c r="C1" s="451" t="n"/>
      <c r="D1" s="451" t="n"/>
      <c r="E1" s="451" t="n"/>
      <c r="F1" s="451" t="n"/>
      <c r="G1" s="451" t="n"/>
      <c r="H1" s="451" t="n"/>
      <c r="I1" s="451" t="n"/>
      <c r="J1" s="451" t="n"/>
      <c r="K1" s="451" t="n"/>
      <c r="L1" s="451" t="n"/>
      <c r="M1" s="451" t="n"/>
      <c r="N1" s="451" t="n"/>
      <c r="O1" s="451" t="n"/>
      <c r="P1" s="451" t="n"/>
      <c r="Q1" s="452" t="inlineStr">
        <is>
          <t>④</t>
        </is>
      </c>
      <c r="R1" s="451" t="n"/>
      <c r="S1" s="451" t="n"/>
    </row>
    <row r="2" ht="18" customHeight="1">
      <c r="B2" s="451" t="n"/>
      <c r="C2" s="451" t="n"/>
      <c r="D2" s="451" t="n"/>
      <c r="E2" s="451" t="n"/>
      <c r="F2" s="451" t="n"/>
      <c r="G2" s="451" t="n"/>
      <c r="H2" s="451" t="n"/>
      <c r="I2" s="451" t="n"/>
      <c r="J2" s="451" t="n"/>
      <c r="K2" s="451" t="n"/>
      <c r="L2" s="451" t="n"/>
      <c r="M2" s="451" t="n"/>
      <c r="N2" s="451" t="n"/>
      <c r="O2" s="451" t="n"/>
      <c r="P2" s="451" t="n"/>
      <c r="Q2" s="452" t="inlineStr">
        <is>
          <t>専有部　その1</t>
        </is>
      </c>
      <c r="R2" s="453" t="n"/>
      <c r="S2" s="451" t="n"/>
      <c r="T2" s="451" t="n"/>
    </row>
    <row r="3" ht="22.05" customHeight="1">
      <c r="A3" s="454" t="inlineStr">
        <is>
          <t>警戒区域又は住戸等</t>
        </is>
      </c>
      <c r="C3" s="455" t="inlineStr">
        <is>
          <t>住戸用受信機</t>
        </is>
      </c>
      <c r="D3" s="456" t="inlineStr">
        <is>
          <t>感知器</t>
        </is>
      </c>
      <c r="M3" s="457" t="inlineStr">
        <is>
          <t>音声警報装置</t>
        </is>
      </c>
      <c r="N3" s="455" t="inlineStr">
        <is>
          <t>戸外表示器</t>
        </is>
      </c>
      <c r="O3" s="454" t="inlineStr">
        <is>
          <t>結果</t>
        </is>
      </c>
      <c r="Q3" s="454" t="inlineStr">
        <is>
          <t>備考</t>
        </is>
      </c>
    </row>
    <row r="4" ht="140.4" customHeight="1">
      <c r="A4" s="459" t="inlineStr">
        <is>
          <t>住棟受信機の表示番号</t>
        </is>
      </c>
      <c r="B4" s="460" t="inlineStr">
        <is>
          <t>名称等</t>
        </is>
      </c>
      <c r="D4" s="455" t="inlineStr">
        <is>
          <t>差動式スポット型</t>
        </is>
      </c>
      <c r="E4" s="455" t="inlineStr">
        <is>
          <t>定温式スポット型</t>
        </is>
      </c>
      <c r="F4" s="455" t="inlineStr">
        <is>
          <t>補償式スポット型</t>
        </is>
      </c>
      <c r="G4" s="455" t="inlineStr">
        <is>
          <t>熱アナログ式スポット型</t>
        </is>
      </c>
      <c r="H4" s="455" t="inlineStr">
        <is>
          <t>光電式スポット型</t>
        </is>
      </c>
      <c r="I4" s="455" t="inlineStr">
        <is>
          <t>光電アナログ式スポット型</t>
        </is>
      </c>
      <c r="J4" s="457" t="inlineStr">
        <is>
          <t>イオン化式スポット型</t>
        </is>
      </c>
      <c r="K4" s="461" t="inlineStr">
        <is>
          <t>イオン化アナログ式スポット型</t>
        </is>
      </c>
      <c r="L4" s="455" t="inlineStr">
        <is>
          <t>炎感知器</t>
        </is>
      </c>
      <c r="O4" s="455" t="inlineStr">
        <is>
          <t>外観試験</t>
        </is>
      </c>
      <c r="P4" s="455" t="inlineStr">
        <is>
          <t>機能試験</t>
        </is>
      </c>
    </row>
    <row r="5" ht="16.2" customHeight="1">
      <c r="A5" s="470" t="n"/>
      <c r="B5" s="471" t="inlineStr">
        <is>
          <t>1201</t>
        </is>
      </c>
      <c r="C5" s="462" t="n">
        <v>1</v>
      </c>
      <c r="D5" s="472" t="n">
        <v>5</v>
      </c>
      <c r="E5" s="462" t="n">
        <v>1</v>
      </c>
      <c r="F5" s="472" t="n"/>
      <c r="G5" s="472" t="n"/>
      <c r="H5" s="472" t="n"/>
      <c r="I5" s="472" t="n"/>
      <c r="J5" s="473" t="n"/>
      <c r="K5" s="474" t="n"/>
      <c r="L5" s="472" t="n"/>
      <c r="M5" s="473" t="n"/>
      <c r="N5" s="462" t="n">
        <v>1</v>
      </c>
      <c r="O5" s="328">
        <f>IF(COUNTA(C5:N5)=0,"","〇")</f>
        <v/>
      </c>
      <c r="P5" s="328">
        <f>IF(COUNTA(C5:N5)=0,"","〇")</f>
        <v/>
      </c>
      <c r="Q5" s="475" t="n"/>
    </row>
    <row r="6" ht="15" customHeight="1">
      <c r="A6" s="462" t="n"/>
      <c r="B6" s="471" t="inlineStr">
        <is>
          <t>1202</t>
        </is>
      </c>
      <c r="C6" s="462" t="n">
        <v>1</v>
      </c>
      <c r="D6" s="462" t="n">
        <v>4</v>
      </c>
      <c r="E6" s="462" t="n">
        <v>1</v>
      </c>
      <c r="F6" s="462" t="n"/>
      <c r="G6" s="462" t="n"/>
      <c r="H6" s="462" t="n"/>
      <c r="I6" s="462" t="n"/>
      <c r="J6" s="462" t="n"/>
      <c r="K6" s="462" t="n"/>
      <c r="L6" s="462" t="n"/>
      <c r="M6" s="462" t="n"/>
      <c r="N6" s="462" t="n">
        <v>1</v>
      </c>
      <c r="O6" s="328">
        <f>IF(COUNTA(C6:N6)=0,"","〇")</f>
        <v/>
      </c>
      <c r="P6" s="328">
        <f>IF(COUNTA(C6:N6)=0,"","〇")</f>
        <v/>
      </c>
      <c r="Q6" s="462" t="n"/>
    </row>
    <row r="7" ht="15" customHeight="1">
      <c r="A7" s="462" t="n"/>
      <c r="B7" s="471" t="inlineStr">
        <is>
          <t>1203</t>
        </is>
      </c>
      <c r="C7" s="462" t="n">
        <v>1</v>
      </c>
      <c r="D7" s="462" t="n">
        <v>4</v>
      </c>
      <c r="E7" s="462" t="n">
        <v>1</v>
      </c>
      <c r="F7" s="462" t="n"/>
      <c r="G7" s="462" t="n"/>
      <c r="H7" s="462" t="n"/>
      <c r="I7" s="462" t="n"/>
      <c r="J7" s="462" t="n"/>
      <c r="K7" s="462" t="n"/>
      <c r="L7" s="462" t="n"/>
      <c r="M7" s="462" t="n"/>
      <c r="N7" s="462" t="n">
        <v>1</v>
      </c>
      <c r="O7" s="328">
        <f>IF(COUNTA(C7:N7)=0,"","〇")</f>
        <v/>
      </c>
      <c r="P7" s="328">
        <f>IF(COUNTA(C7:N7)=0,"","〇")</f>
        <v/>
      </c>
      <c r="Q7" s="462" t="n"/>
    </row>
    <row r="8" ht="15" customHeight="1">
      <c r="A8" s="462" t="n"/>
      <c r="B8" s="471" t="inlineStr">
        <is>
          <t>1205</t>
        </is>
      </c>
      <c r="C8" s="462" t="n">
        <v>1</v>
      </c>
      <c r="D8" s="462" t="n">
        <v>5</v>
      </c>
      <c r="E8" s="462" t="n">
        <v>1</v>
      </c>
      <c r="F8" s="462" t="n"/>
      <c r="G8" s="462" t="n"/>
      <c r="H8" s="462" t="n"/>
      <c r="I8" s="462" t="n"/>
      <c r="J8" s="462" t="n"/>
      <c r="K8" s="462" t="n"/>
      <c r="L8" s="462" t="n"/>
      <c r="M8" s="462" t="n"/>
      <c r="N8" s="462" t="n">
        <v>1</v>
      </c>
      <c r="O8" s="328">
        <f>IF(COUNTA(C8:N8)=0,"","〇")</f>
        <v/>
      </c>
      <c r="P8" s="328">
        <f>IF(COUNTA(C8:N8)=0,"","〇")</f>
        <v/>
      </c>
      <c r="Q8" s="462" t="n"/>
    </row>
    <row r="9" ht="15" customHeight="1">
      <c r="A9" s="462" t="n"/>
      <c r="B9" s="471" t="inlineStr">
        <is>
          <t>1301</t>
        </is>
      </c>
      <c r="C9" s="462" t="n">
        <v>1</v>
      </c>
      <c r="D9" s="462" t="n">
        <v>5</v>
      </c>
      <c r="E9" s="462" t="n">
        <v>1</v>
      </c>
      <c r="F9" s="462" t="n"/>
      <c r="G9" s="462" t="n"/>
      <c r="H9" s="462" t="n"/>
      <c r="I9" s="462" t="n"/>
      <c r="J9" s="462" t="n"/>
      <c r="K9" s="462" t="n"/>
      <c r="L9" s="462" t="n"/>
      <c r="M9" s="462" t="n"/>
      <c r="N9" s="462" t="n">
        <v>1</v>
      </c>
      <c r="O9" s="328">
        <f>IF(COUNTA(C9:N9)=0,"","〇")</f>
        <v/>
      </c>
      <c r="P9" s="328">
        <f>IF(COUNTA(C9:N9)=0,"","〇")</f>
        <v/>
      </c>
      <c r="Q9" s="462" t="n"/>
    </row>
    <row r="10" ht="15" customHeight="1">
      <c r="A10" s="462" t="n"/>
      <c r="B10" s="471" t="inlineStr">
        <is>
          <t>1302</t>
        </is>
      </c>
      <c r="C10" s="462" t="n">
        <v>1</v>
      </c>
      <c r="D10" s="462" t="n">
        <v>4</v>
      </c>
      <c r="E10" s="462" t="n">
        <v>1</v>
      </c>
      <c r="F10" s="462" t="n"/>
      <c r="G10" s="462" t="n"/>
      <c r="H10" s="462" t="n"/>
      <c r="I10" s="462" t="n"/>
      <c r="J10" s="462" t="n"/>
      <c r="K10" s="462" t="n"/>
      <c r="L10" s="462" t="n"/>
      <c r="M10" s="462" t="n"/>
      <c r="N10" s="462" t="n">
        <v>1</v>
      </c>
      <c r="O10" s="328">
        <f>IF(COUNTA(C10:N10)=0,"","〇")</f>
        <v/>
      </c>
      <c r="P10" s="328">
        <f>IF(COUNTA(C10:N10)=0,"","〇")</f>
        <v/>
      </c>
      <c r="Q10" s="462" t="n"/>
    </row>
    <row r="11" ht="15" customHeight="1">
      <c r="A11" s="462" t="n"/>
      <c r="B11" s="471" t="inlineStr">
        <is>
          <t>1303</t>
        </is>
      </c>
      <c r="C11" s="462" t="n">
        <v>1</v>
      </c>
      <c r="D11" s="462" t="n">
        <v>4</v>
      </c>
      <c r="E11" s="462" t="n">
        <v>1</v>
      </c>
      <c r="F11" s="462" t="n"/>
      <c r="G11" s="462" t="n"/>
      <c r="H11" s="462" t="n"/>
      <c r="I11" s="462" t="n"/>
      <c r="J11" s="462" t="n"/>
      <c r="K11" s="462" t="n"/>
      <c r="L11" s="462" t="n"/>
      <c r="M11" s="462" t="n"/>
      <c r="N11" s="462" t="n">
        <v>1</v>
      </c>
      <c r="O11" s="328">
        <f>IF(COUNTA(C11:N11)=0,"","〇")</f>
        <v/>
      </c>
      <c r="P11" s="328">
        <f>IF(COUNTA(C11:N11)=0,"","〇")</f>
        <v/>
      </c>
      <c r="Q11" s="462" t="n"/>
    </row>
    <row r="12" ht="15" customHeight="1">
      <c r="A12" s="462" t="n"/>
      <c r="B12" s="471" t="inlineStr">
        <is>
          <t>1305</t>
        </is>
      </c>
      <c r="C12" s="462" t="n">
        <v>1</v>
      </c>
      <c r="D12" s="462" t="n">
        <v>4</v>
      </c>
      <c r="E12" s="462" t="n">
        <v>1</v>
      </c>
      <c r="F12" s="462" t="n"/>
      <c r="G12" s="462" t="n"/>
      <c r="H12" s="462" t="n"/>
      <c r="I12" s="462" t="n"/>
      <c r="J12" s="462" t="n"/>
      <c r="K12" s="462" t="n"/>
      <c r="L12" s="462" t="n"/>
      <c r="M12" s="462" t="n"/>
      <c r="N12" s="462" t="n">
        <v>1</v>
      </c>
      <c r="O12" s="328">
        <f>IF(COUNTA(C12:N12)=0,"","〇")</f>
        <v/>
      </c>
      <c r="P12" s="328">
        <f>IF(COUNTA(C12:N12)=0,"","〇")</f>
        <v/>
      </c>
      <c r="Q12" s="462" t="n"/>
    </row>
    <row r="13" ht="15" customHeight="1">
      <c r="A13" s="462" t="n"/>
      <c r="B13" s="471" t="inlineStr">
        <is>
          <t>1401</t>
        </is>
      </c>
      <c r="C13" s="462" t="n">
        <v>1</v>
      </c>
      <c r="D13" s="462" t="n">
        <v>7</v>
      </c>
      <c r="E13" s="462" t="n">
        <v>1</v>
      </c>
      <c r="F13" s="462" t="n"/>
      <c r="G13" s="462" t="n"/>
      <c r="H13" s="462" t="n"/>
      <c r="I13" s="462" t="n"/>
      <c r="J13" s="462" t="n"/>
      <c r="K13" s="462" t="n"/>
      <c r="L13" s="462" t="n"/>
      <c r="M13" s="462" t="n"/>
      <c r="N13" s="462" t="n">
        <v>1</v>
      </c>
      <c r="O13" s="328">
        <f>IF(COUNTA(C13:N13)=0,"","〇")</f>
        <v/>
      </c>
      <c r="P13" s="328">
        <f>IF(COUNTA(C13:N13)=0,"","〇")</f>
        <v/>
      </c>
      <c r="Q13" s="462" t="n"/>
    </row>
    <row r="14" ht="15" customHeight="1">
      <c r="A14" s="462" t="n"/>
      <c r="B14" s="471" t="inlineStr">
        <is>
          <t>1402</t>
        </is>
      </c>
      <c r="C14" s="462" t="n"/>
      <c r="D14" s="462" t="n"/>
      <c r="E14" s="462" t="n"/>
      <c r="F14" s="462" t="n"/>
      <c r="G14" s="462" t="n"/>
      <c r="H14" s="462" t="n"/>
      <c r="I14" s="462" t="n"/>
      <c r="J14" s="462" t="n"/>
      <c r="K14" s="462" t="n"/>
      <c r="L14" s="462" t="n"/>
      <c r="M14" s="462" t="n"/>
      <c r="N14" s="462" t="n"/>
      <c r="O14" s="328">
        <f>IF(COUNTA(C14:N14)=0,"","〇")</f>
        <v/>
      </c>
      <c r="P14" s="328">
        <f>IF(COUNTA(C14:N14)=0,"","〇")</f>
        <v/>
      </c>
      <c r="Q14" s="462" t="n"/>
      <c r="R14" t="n">
        <v>6.1</v>
      </c>
    </row>
    <row r="15" ht="15" customHeight="1">
      <c r="A15" s="462" t="n"/>
      <c r="B15" s="471" t="inlineStr">
        <is>
          <t>1403</t>
        </is>
      </c>
      <c r="C15" s="462" t="n">
        <v>1</v>
      </c>
      <c r="D15" s="462" t="n">
        <v>4</v>
      </c>
      <c r="E15" s="462" t="n">
        <v>1</v>
      </c>
      <c r="F15" s="462" t="n"/>
      <c r="G15" s="462" t="n"/>
      <c r="H15" s="462" t="n"/>
      <c r="I15" s="462" t="n"/>
      <c r="J15" s="462" t="n"/>
      <c r="K15" s="462" t="n"/>
      <c r="L15" s="462" t="n"/>
      <c r="M15" s="462" t="n"/>
      <c r="N15" s="462" t="n">
        <v>1</v>
      </c>
      <c r="O15" s="328">
        <f>IF(COUNTA(C15:N15)=0,"","〇")</f>
        <v/>
      </c>
      <c r="P15" s="328">
        <f>IF(COUNTA(C15:N15)=0,"","〇")</f>
        <v/>
      </c>
      <c r="Q15" s="462" t="n"/>
    </row>
    <row r="16" ht="15" customHeight="1">
      <c r="A16" s="462" t="n"/>
      <c r="B16" s="471" t="n"/>
      <c r="C16" s="462" t="n"/>
      <c r="D16" s="462" t="n"/>
      <c r="E16" s="462" t="n"/>
      <c r="F16" s="462" t="n"/>
      <c r="G16" s="462" t="n"/>
      <c r="H16" s="462" t="n"/>
      <c r="I16" s="462" t="n"/>
      <c r="J16" s="462" t="n"/>
      <c r="K16" s="462" t="n"/>
      <c r="L16" s="462" t="n"/>
      <c r="M16" s="462" t="n"/>
      <c r="N16" s="462" t="n"/>
      <c r="O16" s="328">
        <f>IF(COUNTA(C16:N16)=0,"","〇")</f>
        <v/>
      </c>
      <c r="P16" s="328">
        <f>IF(COUNTA(C16:N16)=0,"","〇")</f>
        <v/>
      </c>
      <c r="Q16" s="462" t="n"/>
    </row>
    <row r="17" ht="15" customHeight="1">
      <c r="A17" s="462" t="n"/>
      <c r="B17" s="471" t="n"/>
      <c r="C17" s="462" t="n"/>
      <c r="D17" s="462" t="n"/>
      <c r="E17" s="462" t="n"/>
      <c r="F17" s="462" t="n"/>
      <c r="G17" s="462" t="n"/>
      <c r="H17" s="462" t="n"/>
      <c r="I17" s="462" t="n"/>
      <c r="J17" s="462" t="n"/>
      <c r="K17" s="462" t="n"/>
      <c r="L17" s="462" t="n"/>
      <c r="M17" s="462" t="n"/>
      <c r="N17" s="462" t="n"/>
      <c r="O17" s="328">
        <f>IF(COUNTA(C17:N17)=0,"","〇")</f>
        <v/>
      </c>
      <c r="P17" s="328">
        <f>IF(COUNTA(C17:N17)=0,"","〇")</f>
        <v/>
      </c>
      <c r="Q17" s="462" t="n"/>
    </row>
    <row r="18" ht="15" customHeight="1">
      <c r="A18" s="462" t="n"/>
      <c r="B18" s="471" t="n"/>
      <c r="C18" s="462" t="n"/>
      <c r="D18" s="462" t="n"/>
      <c r="E18" s="462" t="n"/>
      <c r="F18" s="462" t="n"/>
      <c r="G18" s="462" t="n"/>
      <c r="H18" s="462" t="n"/>
      <c r="I18" s="462" t="n"/>
      <c r="J18" s="462" t="n"/>
      <c r="K18" s="462" t="n"/>
      <c r="L18" s="462" t="n"/>
      <c r="M18" s="462" t="n"/>
      <c r="N18" s="462" t="n"/>
      <c r="O18" s="328">
        <f>IF(COUNTA(C18:N18)=0,"","〇")</f>
        <v/>
      </c>
      <c r="P18" s="328">
        <f>IF(COUNTA(C18:N18)=0,"","〇")</f>
        <v/>
      </c>
      <c r="Q18" s="462" t="n"/>
    </row>
    <row r="19" ht="15" customHeight="1">
      <c r="A19" s="462" t="n"/>
      <c r="B19" s="471" t="n"/>
      <c r="C19" s="462" t="n"/>
      <c r="D19" s="462" t="n"/>
      <c r="E19" s="462" t="n"/>
      <c r="F19" s="462" t="n"/>
      <c r="G19" s="462" t="n"/>
      <c r="H19" s="462" t="n"/>
      <c r="I19" s="462" t="n"/>
      <c r="J19" s="462" t="n"/>
      <c r="K19" s="462" t="n"/>
      <c r="L19" s="462" t="n"/>
      <c r="M19" s="462" t="n"/>
      <c r="N19" s="462" t="n"/>
      <c r="O19" s="328">
        <f>IF(COUNTA(C19:N19)=0,"","〇")</f>
        <v/>
      </c>
      <c r="P19" s="328">
        <f>IF(COUNTA(C19:N19)=0,"","〇")</f>
        <v/>
      </c>
      <c r="Q19" s="462" t="n"/>
    </row>
    <row r="20" ht="15" customHeight="1">
      <c r="A20" s="462" t="n"/>
      <c r="B20" s="471" t="n"/>
      <c r="C20" s="462" t="n"/>
      <c r="D20" s="462" t="n"/>
      <c r="E20" s="462" t="n"/>
      <c r="F20" s="462" t="n"/>
      <c r="G20" s="462" t="n"/>
      <c r="H20" s="462" t="n"/>
      <c r="I20" s="462" t="n"/>
      <c r="J20" s="462" t="n"/>
      <c r="K20" s="462" t="n"/>
      <c r="L20" s="462" t="n"/>
      <c r="M20" s="462" t="n"/>
      <c r="N20" s="462" t="n"/>
      <c r="O20" s="328">
        <f>IF(COUNTA(C20:N20)=0,"","〇")</f>
        <v/>
      </c>
      <c r="P20" s="328">
        <f>IF(COUNTA(C20:N20)=0,"","〇")</f>
        <v/>
      </c>
      <c r="Q20" s="462" t="n"/>
    </row>
    <row r="21" ht="15" customHeight="1">
      <c r="A21" s="462" t="n"/>
      <c r="B21" s="471" t="n"/>
      <c r="C21" s="462" t="n"/>
      <c r="D21" s="462" t="n"/>
      <c r="E21" s="462" t="n"/>
      <c r="F21" s="462" t="n"/>
      <c r="G21" s="462" t="n"/>
      <c r="H21" s="462" t="n"/>
      <c r="I21" s="462" t="n"/>
      <c r="J21" s="462" t="n"/>
      <c r="K21" s="462" t="n"/>
      <c r="L21" s="462" t="n"/>
      <c r="M21" s="462" t="n"/>
      <c r="N21" s="462" t="n"/>
      <c r="O21" s="328">
        <f>IF(COUNTA(C21:N21)=0,"","〇")</f>
        <v/>
      </c>
      <c r="P21" s="328">
        <f>IF(COUNTA(C21:N21)=0,"","〇")</f>
        <v/>
      </c>
      <c r="Q21" s="462" t="n"/>
    </row>
    <row r="22" ht="15" customHeight="1">
      <c r="A22" s="462" t="n"/>
      <c r="B22" s="471" t="n"/>
      <c r="C22" s="462" t="n"/>
      <c r="D22" s="462" t="n"/>
      <c r="E22" s="462" t="n"/>
      <c r="F22" s="462" t="n"/>
      <c r="G22" s="462" t="n"/>
      <c r="H22" s="462" t="n"/>
      <c r="I22" s="462" t="n"/>
      <c r="J22" s="462" t="n"/>
      <c r="K22" s="462" t="n"/>
      <c r="L22" s="462" t="n"/>
      <c r="M22" s="462" t="n"/>
      <c r="N22" s="462" t="n"/>
      <c r="O22" s="328">
        <f>IF(COUNTA(C22:N22)=0,"","〇")</f>
        <v/>
      </c>
      <c r="P22" s="328">
        <f>IF(COUNTA(C22:N22)=0,"","〇")</f>
        <v/>
      </c>
      <c r="Q22" s="462" t="n"/>
    </row>
    <row r="23" ht="15" customHeight="1">
      <c r="A23" s="462" t="n"/>
      <c r="B23" s="471" t="n"/>
      <c r="C23" s="462" t="n"/>
      <c r="D23" s="462" t="n"/>
      <c r="E23" s="462" t="n"/>
      <c r="F23" s="462" t="n"/>
      <c r="G23" s="462" t="n"/>
      <c r="H23" s="462" t="n"/>
      <c r="I23" s="462" t="n"/>
      <c r="J23" s="462" t="n"/>
      <c r="K23" s="462" t="n"/>
      <c r="L23" s="462" t="n"/>
      <c r="M23" s="462" t="n"/>
      <c r="N23" s="462" t="n"/>
      <c r="O23" s="328">
        <f>IF(COUNTA(C23:N23)=0,"","〇")</f>
        <v/>
      </c>
      <c r="P23" s="328">
        <f>IF(COUNTA(C23:N23)=0,"","〇")</f>
        <v/>
      </c>
      <c r="Q23" s="462" t="n"/>
    </row>
    <row r="24" ht="15" customHeight="1">
      <c r="A24" s="462" t="n"/>
      <c r="B24" s="471" t="n"/>
      <c r="C24" s="462" t="n"/>
      <c r="D24" s="462" t="n"/>
      <c r="E24" s="462" t="n"/>
      <c r="F24" s="462" t="n"/>
      <c r="G24" s="462" t="n"/>
      <c r="H24" s="462" t="n"/>
      <c r="I24" s="462" t="n"/>
      <c r="J24" s="462" t="n"/>
      <c r="K24" s="462" t="n"/>
      <c r="L24" s="462" t="n"/>
      <c r="M24" s="462" t="n"/>
      <c r="N24" s="462" t="n"/>
      <c r="O24" s="328">
        <f>IF(COUNTA(C24:N24)=0,"","〇")</f>
        <v/>
      </c>
      <c r="P24" s="328">
        <f>IF(COUNTA(C24:N24)=0,"","〇")</f>
        <v/>
      </c>
      <c r="Q24" s="462" t="n"/>
    </row>
    <row r="25" ht="15" customHeight="1">
      <c r="A25" s="462" t="n"/>
      <c r="B25" s="471" t="n"/>
      <c r="C25" s="462" t="n"/>
      <c r="D25" s="462" t="n"/>
      <c r="E25" s="462" t="n"/>
      <c r="F25" s="462" t="n"/>
      <c r="G25" s="462" t="n"/>
      <c r="H25" s="462" t="n"/>
      <c r="I25" s="462" t="n"/>
      <c r="J25" s="462" t="n"/>
      <c r="K25" s="462" t="n"/>
      <c r="L25" s="462" t="n"/>
      <c r="M25" s="462" t="n"/>
      <c r="N25" s="462" t="n"/>
      <c r="O25" s="328">
        <f>IF(COUNTA(C25:N25)=0,"","〇")</f>
        <v/>
      </c>
      <c r="P25" s="328">
        <f>IF(COUNTA(C25:N25)=0,"","〇")</f>
        <v/>
      </c>
      <c r="Q25" s="462" t="n"/>
    </row>
    <row r="26" ht="15" customHeight="1">
      <c r="A26" s="462" t="n"/>
      <c r="B26" s="471" t="n"/>
      <c r="C26" s="462" t="n"/>
      <c r="D26" s="462" t="n"/>
      <c r="E26" s="462" t="n"/>
      <c r="F26" s="462" t="n"/>
      <c r="G26" s="462" t="n"/>
      <c r="H26" s="462" t="n"/>
      <c r="I26" s="462" t="n"/>
      <c r="J26" s="462" t="n"/>
      <c r="K26" s="462" t="n"/>
      <c r="L26" s="462" t="n"/>
      <c r="M26" s="462" t="n"/>
      <c r="N26" s="462" t="n"/>
      <c r="O26" s="328">
        <f>IF(COUNTA(C26:N26)=0,"","〇")</f>
        <v/>
      </c>
      <c r="P26" s="328">
        <f>IF(COUNTA(C26:N26)=0,"","〇")</f>
        <v/>
      </c>
      <c r="Q26" s="462" t="n"/>
    </row>
    <row r="27" ht="15" customHeight="1">
      <c r="A27" s="462" t="n"/>
      <c r="B27" s="471" t="n"/>
      <c r="C27" s="462" t="n"/>
      <c r="D27" s="462" t="n"/>
      <c r="E27" s="462" t="n"/>
      <c r="F27" s="462" t="n"/>
      <c r="G27" s="462" t="n"/>
      <c r="H27" s="462" t="n"/>
      <c r="I27" s="462" t="n"/>
      <c r="J27" s="462" t="n"/>
      <c r="K27" s="462" t="n"/>
      <c r="L27" s="462" t="n"/>
      <c r="M27" s="462" t="n"/>
      <c r="N27" s="462" t="n"/>
      <c r="O27" s="328">
        <f>IF(COUNTA(C27:N27)=0,"","〇")</f>
        <v/>
      </c>
      <c r="P27" s="328">
        <f>IF(COUNTA(C27:N27)=0,"","〇")</f>
        <v/>
      </c>
      <c r="Q27" s="462" t="n"/>
    </row>
    <row r="28" ht="15" customHeight="1">
      <c r="A28" s="454" t="inlineStr">
        <is>
          <t>小計</t>
        </is>
      </c>
      <c r="C28" s="328">
        <f>SUM(C5:C27)</f>
        <v/>
      </c>
      <c r="D28" s="328">
        <f>SUM(D5:D27)</f>
        <v/>
      </c>
      <c r="E28" s="328">
        <f>SUM(E5:E27)</f>
        <v/>
      </c>
      <c r="F28" s="328" t="n"/>
      <c r="G28" s="328" t="n"/>
      <c r="H28" s="328" t="n"/>
      <c r="I28" s="328" t="n"/>
      <c r="J28" s="328" t="n"/>
      <c r="K28" s="328" t="n"/>
      <c r="L28" s="328" t="n"/>
      <c r="M28" s="328" t="n"/>
      <c r="N28" s="328">
        <f>SUM(N5:N27)</f>
        <v/>
      </c>
      <c r="O28" s="328" t="n"/>
      <c r="P28" s="328" t="n"/>
      <c r="Q28" s="328" t="n"/>
    </row>
    <row r="29" ht="15" customHeight="1">
      <c r="A29" s="454" t="inlineStr">
        <is>
          <t>合計</t>
        </is>
      </c>
      <c r="C29" s="328">
        <f>その2!C27+その３!C28+その4!C28</f>
        <v/>
      </c>
      <c r="D29" s="328">
        <f>その2!D27+その３!D28+その4!D28</f>
        <v/>
      </c>
      <c r="E29" s="328">
        <f>その2!E27+その３!E28+その4!E28</f>
        <v/>
      </c>
      <c r="F29" s="328" t="n"/>
      <c r="G29" s="328" t="n"/>
      <c r="H29" s="328" t="n"/>
      <c r="I29" s="328" t="n"/>
      <c r="J29" s="328" t="n"/>
      <c r="K29" s="328" t="n"/>
      <c r="L29" s="328" t="n"/>
      <c r="M29" s="328" t="n"/>
      <c r="N29" s="328">
        <f>その2!N27+その３!N28+その4!N28</f>
        <v/>
      </c>
      <c r="O29" s="328" t="n"/>
      <c r="P29" s="328" t="n"/>
      <c r="Q29" s="328" t="n"/>
    </row>
    <row r="30" ht="15" customHeight="1">
      <c r="A30" s="231" t="inlineStr">
        <is>
          <t>備考</t>
        </is>
      </c>
      <c r="B30" s="192" t="n"/>
      <c r="C30" s="233" t="n"/>
      <c r="D30" s="465" t="n"/>
      <c r="E30" s="465" t="n"/>
      <c r="F30" s="465" t="n"/>
      <c r="G30" s="465" t="n"/>
      <c r="H30" s="465" t="n"/>
      <c r="I30" s="465" t="n"/>
      <c r="J30" s="465" t="n"/>
      <c r="K30" s="465" t="n"/>
      <c r="L30" s="465" t="n"/>
      <c r="M30" s="465" t="n"/>
      <c r="N30" s="465" t="n"/>
      <c r="O30" s="465" t="n"/>
      <c r="P30" s="465" t="n"/>
      <c r="Q30" s="466" t="n"/>
    </row>
    <row r="31" ht="15" customHeight="1">
      <c r="B31" s="236" t="n"/>
      <c r="N31" s="346" t="n"/>
      <c r="O31" s="346" t="n"/>
      <c r="P31" s="346" t="n"/>
      <c r="Q31" s="468" t="n"/>
    </row>
    <row r="32" ht="15" customHeight="1">
      <c r="B32" s="467" t="n"/>
      <c r="C32" s="346" t="n"/>
      <c r="D32" s="346" t="n"/>
      <c r="E32" s="346" t="n"/>
      <c r="F32" s="346" t="n"/>
      <c r="G32" s="346" t="n"/>
      <c r="H32" s="346" t="n"/>
      <c r="I32" s="346" t="n"/>
      <c r="J32" s="346" t="n"/>
      <c r="K32" s="346" t="n"/>
      <c r="L32" s="346" t="n"/>
      <c r="M32" s="346" t="n"/>
      <c r="N32" s="346" t="n"/>
      <c r="O32" s="346" t="n"/>
      <c r="P32" s="346" t="n"/>
      <c r="Q32" s="468" t="n"/>
    </row>
    <row r="33" ht="15" customHeight="1">
      <c r="B33" s="467" t="n"/>
      <c r="C33" s="346" t="n"/>
      <c r="D33" s="346" t="n"/>
      <c r="E33" s="346" t="n"/>
      <c r="F33" s="346" t="n"/>
      <c r="G33" s="346" t="n"/>
      <c r="H33" s="346" t="n"/>
      <c r="I33" s="346" t="n"/>
      <c r="J33" s="346" t="n"/>
      <c r="K33" s="346" t="n"/>
      <c r="L33" s="346" t="n"/>
      <c r="M33" s="346" t="n"/>
      <c r="N33" s="346" t="n"/>
      <c r="O33" s="346" t="n"/>
      <c r="P33" s="346" t="n"/>
      <c r="Q33" s="468" t="n"/>
    </row>
    <row r="34" ht="15" customHeight="1">
      <c r="B34" s="469" t="n"/>
    </row>
    <row r="35" ht="15" customHeight="1">
      <c r="A35" s="102" t="inlineStr">
        <is>
          <t>備考１　この用紙の大きさは、日本産業規格Ａ４とすること。</t>
        </is>
      </c>
      <c r="B35" s="102" t="n"/>
      <c r="C35" s="102" t="n"/>
      <c r="D35" s="102" t="n"/>
      <c r="E35" s="102" t="n"/>
      <c r="F35" s="102" t="n"/>
      <c r="G35" s="102" t="n"/>
      <c r="H35" s="102" t="n"/>
      <c r="I35" s="102" t="n"/>
      <c r="J35" s="102" t="n"/>
      <c r="K35" s="102" t="n"/>
      <c r="L35" s="102" t="n"/>
      <c r="M35" s="102" t="n"/>
      <c r="N35" s="102" t="n"/>
      <c r="O35" s="102" t="n"/>
      <c r="P35" s="102" t="n"/>
      <c r="Q35" s="102" t="n"/>
      <c r="R35" s="102" t="n"/>
      <c r="S35" s="102" t="n"/>
      <c r="T35" s="102" t="n"/>
    </row>
    <row r="36" ht="15" customHeight="1">
      <c r="A36" s="379" t="inlineStr">
        <is>
          <t xml:space="preserve">　　２　共用部分にあっては住棟受信機の表示番号、警戒区域ごとに、住戸等にあっては住戸等ごとに各欄に掲げ
　　　　る設備等の個数を記入すること。</t>
        </is>
      </c>
      <c r="R36" s="237" t="n"/>
      <c r="S36" s="102" t="n"/>
      <c r="T36" s="102" t="n"/>
    </row>
    <row r="37" ht="15" customHeight="1">
      <c r="R37" s="102" t="n"/>
    </row>
    <row r="38" ht="15" customHeight="1">
      <c r="A38" s="379" t="inlineStr">
        <is>
          <t xml:space="preserve">　　３　結果の欄には、住棟受信機の表示番号、警戒区域又は住戸等ごとに各欄に掲げる設備等の試験結果が全て
　　　　良の場合は○、一部でも否である場合は×を記入すること。</t>
        </is>
      </c>
      <c r="R38" s="102" t="n"/>
      <c r="S38" s="102" t="n"/>
      <c r="T38" s="102" t="n"/>
    </row>
    <row r="39" ht="15" customHeight="1">
      <c r="R39" s="102" t="n"/>
      <c r="S39" s="450" t="n"/>
      <c r="T39" s="450" t="n"/>
    </row>
    <row r="40" ht="15" customHeight="1">
      <c r="A40" s="450" t="n"/>
      <c r="B40" s="450" t="n"/>
      <c r="C40" s="450" t="n"/>
      <c r="D40" s="450" t="n"/>
      <c r="E40" s="450" t="n"/>
      <c r="F40" s="450" t="n"/>
      <c r="G40" s="450" t="n"/>
      <c r="H40" s="450" t="n"/>
      <c r="I40" s="450" t="n"/>
      <c r="J40" s="450" t="n"/>
      <c r="K40" s="450" t="n"/>
      <c r="L40" s="450" t="n"/>
      <c r="M40" s="450" t="n"/>
      <c r="N40" s="450" t="n"/>
      <c r="O40" s="450" t="n"/>
      <c r="P40" s="450" t="n"/>
      <c r="Q40" s="450" t="n"/>
      <c r="R40" s="450" t="n"/>
      <c r="S40" s="450" t="n"/>
      <c r="T40" s="450" t="n"/>
    </row>
  </sheetData>
  <sheetProtection selectLockedCells="0" selectUnlockedCells="0" sheet="1" objects="1" insertRows="1" insertHyperlinks="1" autoFilter="1" scenarios="1" formatColumns="0" deleteColumns="1" insertColumns="1" pivotTables="1" deleteRows="1" formatCells="0" formatRows="0" sort="1"/>
  <mergeCells count="14">
    <mergeCell ref="B34:Q34"/>
    <mergeCell ref="O3:P3"/>
    <mergeCell ref="A38:Q39"/>
    <mergeCell ref="A30:A34"/>
    <mergeCell ref="A29:B29"/>
    <mergeCell ref="C3:C4"/>
    <mergeCell ref="B31:M31"/>
    <mergeCell ref="M3:M4"/>
    <mergeCell ref="N3:N4"/>
    <mergeCell ref="Q3:Q4"/>
    <mergeCell ref="A28:B28"/>
    <mergeCell ref="A36:Q37"/>
    <mergeCell ref="D3:L3"/>
    <mergeCell ref="A3:B3"/>
  </mergeCells>
  <dataValidations count="1">
    <dataValidation sqref="C5 C6 C7 C8 C9 C10 C11 C12 C13 C14 C15 C16 C17 C18 C19 C20 C21 C22 C23 C24 C25 C26 C27 D5 D6 D7 D8 D9 D10 D11 D12 D13 D14 D15 D16 D17 D18 D19 D20 D21 D22 D23 D24 D25 D26 D27 E5 E6 E7 E8 E9 E10 E11 E12 E13 E14 E15 E16 E17 E18 E19 E20 E21 E22 E23 E24 E25 E26 E27 F5 F6 F7 F8 F9 F10 F11 F12 F13 F14 F15 F16 F17 F18 F19 F20 F21 F22 F23 F24 F25 F26 F27 G5 G6 G7 G8 G9 G10 G11 G12 G13 G14 G15 G16 G17 G18 G19 G20 G21 G22 G23 G24 G25 G26 G27 H5 H6 H7 H8 H9 H10 H11 H12 H13 H14 H15 H16 H17 H18 H19 H20 H21 H22 H23 H24 H25 H26 H27 I5 I6 I7 I8 I9 I10 I11 I12 I13 I14 I15 I16 I17 I18 I19 I20 I21 I22 I23 I24 I25 I26 I27 J5 J6 J7 J8 J9 J10 J11 J12 J13 J14 J15 J16 J17 J18 J19 J20 J21 J22 J23 J24 J25 J26 J27 K5 K6 K7 K8 K9 K10 K11 K12 K13 K14 K15 K16 K17 K18 K19 K20 K21 K22 K23 K24 K25 K26 K27 L5 L6 L7 L8 L9 L10 L11 L12 L13 L14 L15 L16 L17 L18 L19 L20 L21 L22 L23 L24 L25 L26 L27 M5 M6 M7 M8 M9 M10 M11 M12 M13 M14 M15 M16 M17 M18 M19 M20 M21 M22 M23 M24 M25 M26 M27 N5 N6 N7 N8 N9 N10 N11 N12 N13 N14 N15 N16 N17 N18 N19 N20 N21 N22 N23 N24 N25 N26 N27" showDropDown="0" showInputMessage="1" showErrorMessage="1" allowBlank="1" errorTitle="入力エラー" error="0以上の整数を入力してください" promptTitle="数量入力" prompt="設備の個数を入力（0以上の整数）" type="whole" operator="greaterThanOrEqual">
      <formula1>0</formula1>
    </dataValidation>
  </dataValidations>
  <pageMargins left="0.7" right="0.7" top="0.75" bottom="0.75" header="0.3" footer="0.3"/>
  <pageSetup orientation="portrait" paperSize="9" scale="9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2026-06-18T07:37:32Z</dcterms:created>
  <dcterms:modified xsi:type="dcterms:W3CDTF">2026-06-18T07:37:36Z</dcterms:modified>
</cp:coreProperties>
</file>