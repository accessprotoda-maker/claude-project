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入力フォーム" sheetId="1" state="visible" r:id="rId1"/>
    <sheet name="共用部感知器" sheetId="2" state="visible" r:id="rId2"/>
    <sheet name="専有部感知器" sheetId="3" state="visible" r:id="rId3"/>
    <sheet name="共用部概要表入力" sheetId="4" state="visible" r:id="rId4"/>
    <sheet name="警戒区域入力" sheetId="5" state="visible" r:id="rId5"/>
    <sheet name="面積概要表入力" sheetId="6" state="visible" r:id="rId6"/>
    <sheet name="提出前チェックリスト" sheetId="7" state="visible" r:id="rId7"/>
    <sheet name="必要書類一覧"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S ゴシック"/>
      <b val="1"/>
      <sz val="14"/>
    </font>
    <font>
      <name val="MS ゴシック"/>
      <sz val="10"/>
    </font>
    <font>
      <name val="MS ゴシック"/>
      <b val="1"/>
      <sz val="12"/>
    </font>
    <font>
      <name val="MS ゴシック"/>
      <b val="1"/>
      <sz val="11"/>
    </font>
    <font>
      <name val="MS ゴシック"/>
      <b val="1"/>
    </font>
    <font>
      <name val="MS ゴシック"/>
      <sz val="8"/>
    </font>
  </fonts>
  <fills count="6">
    <fill>
      <patternFill/>
    </fill>
    <fill>
      <patternFill patternType="gray125"/>
    </fill>
    <fill>
      <patternFill patternType="solid">
        <fgColor rgb="00B4C6E7"/>
        <bgColor rgb="00B4C6E7"/>
      </patternFill>
    </fill>
    <fill>
      <patternFill patternType="solid">
        <fgColor rgb="00D9E1F2"/>
        <bgColor rgb="00D9E1F2"/>
      </patternFill>
    </fill>
    <fill>
      <patternFill patternType="solid">
        <fgColor rgb="00FFFFCC"/>
        <bgColor rgb="00FFFFCC"/>
      </patternFill>
    </fill>
    <fill>
      <patternFill patternType="solid">
        <fgColor rgb="00E0FFE0"/>
        <bgColor rgb="00E0FFE0"/>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0" applyAlignment="1" pivotButton="0" quotePrefix="0" xfId="0">
      <alignment horizontal="left" vertical="center"/>
    </xf>
    <xf numFmtId="0" fontId="4" fillId="3" borderId="1" applyAlignment="1" pivotButton="0" quotePrefix="0" xfId="0">
      <alignment horizontal="center" vertical="center" wrapText="1"/>
    </xf>
    <xf numFmtId="0" fontId="2" fillId="4" borderId="1" applyAlignment="1" pivotButton="0" quotePrefix="0" xfId="0">
      <alignment horizontal="center" vertical="center"/>
    </xf>
    <xf numFmtId="0" fontId="2" fillId="0" borderId="1" pivotButton="0" quotePrefix="0" xfId="0"/>
    <xf numFmtId="0" fontId="1" fillId="0" borderId="0" applyAlignment="1" pivotButton="0" quotePrefix="0" xfId="0">
      <alignment horizontal="center"/>
    </xf>
    <xf numFmtId="0" fontId="0" fillId="5" borderId="1" applyAlignment="1" pivotButton="0" quotePrefix="0" xfId="0">
      <alignment horizontal="center" vertical="center"/>
    </xf>
    <xf numFmtId="0" fontId="0" fillId="0" borderId="4" pivotButton="0" quotePrefix="0" xfId="0"/>
    <xf numFmtId="0" fontId="5" fillId="5" borderId="1" pivotButton="0" quotePrefix="0" xfId="0"/>
    <xf numFmtId="0" fontId="6" fillId="0" borderId="0" pivotButton="0" quotePrefix="0" xfId="0"/>
    <xf numFmtId="0" fontId="2" fillId="5" borderId="1" applyAlignment="1" pivotButton="0" quotePrefix="0" xfId="0">
      <alignment horizontal="center" vertical="center"/>
    </xf>
    <xf numFmtId="0" fontId="3" fillId="2" borderId="0" pivotButton="0" quotePrefix="0" xfId="0"/>
    <xf numFmtId="0" fontId="0" fillId="0" borderId="1" pivotButton="0" quotePrefix="0" xfId="0"/>
    <xf numFmtId="0" fontId="0" fillId="4" borderId="1" applyAlignment="1" pivotButton="0" quotePrefix="0" xfId="0">
      <alignment horizontal="center"/>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0000"/>
    <outlinePr summaryBelow="1" summaryRight="1"/>
    <pageSetUpPr/>
  </sheetPr>
  <dimension ref="A1:I8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ht="35" customHeight="1">
      <c r="A1" s="1" t="inlineStr">
        <is>
          <t>消防設備工事 統合入力フォーム</t>
        </is>
      </c>
    </row>
    <row r="2">
      <c r="A2" s="2" t="inlineStr">
        <is>
          <t>黄色セル＝入力必要  緑色セル＝自動計算</t>
        </is>
      </c>
    </row>
    <row r="4">
      <c r="A4" s="3" t="inlineStr">
        <is>
          <t>【基本情報】</t>
        </is>
      </c>
    </row>
    <row r="5">
      <c r="A5" s="4" t="inlineStr">
        <is>
          <t>担当消防署</t>
        </is>
      </c>
      <c r="B5" s="5" t="n"/>
    </row>
    <row r="6">
      <c r="A6" s="4" t="inlineStr">
        <is>
          <t>届出日（例：2025/4/1）</t>
        </is>
      </c>
      <c r="B6" s="5" t="n"/>
    </row>
    <row r="7">
      <c r="A7" s="4" t="inlineStr">
        <is>
          <t>届出者名</t>
        </is>
      </c>
      <c r="B7" s="5" t="n"/>
    </row>
    <row r="8">
      <c r="A8" s="4" t="inlineStr">
        <is>
          <t>工事場所（住所）</t>
        </is>
      </c>
      <c r="B8" s="5" t="n"/>
    </row>
    <row r="9">
      <c r="A9" s="4" t="inlineStr">
        <is>
          <t>防火対象物の名称</t>
        </is>
      </c>
      <c r="B9" s="5" t="n"/>
    </row>
    <row r="10">
      <c r="A10" s="4" t="inlineStr">
        <is>
          <t>工事整備対象設備等の種類</t>
        </is>
      </c>
      <c r="B10" s="5" t="inlineStr">
        <is>
          <t>自動火災報知設備</t>
        </is>
      </c>
    </row>
    <row r="11">
      <c r="A11" s="4" t="inlineStr">
        <is>
          <t>用途コード（例：5項ロ）</t>
        </is>
      </c>
      <c r="B11" s="5" t="n"/>
    </row>
    <row r="12">
      <c r="A12" s="4" t="inlineStr">
        <is>
          <t>用途名称</t>
        </is>
      </c>
      <c r="B12" s="5" t="inlineStr">
        <is>
          <t>共同住宅</t>
        </is>
      </c>
    </row>
    <row r="13">
      <c r="A13" s="4" t="inlineStr">
        <is>
          <t>主要構造部</t>
        </is>
      </c>
      <c r="B13" s="5" t="inlineStr">
        <is>
          <t>耐火構造</t>
        </is>
      </c>
    </row>
    <row r="14">
      <c r="A14" s="4" t="inlineStr">
        <is>
          <t>地上階数</t>
        </is>
      </c>
      <c r="B14" s="5" t="n"/>
    </row>
    <row r="15">
      <c r="A15" s="4" t="inlineStr">
        <is>
          <t>地下階数</t>
        </is>
      </c>
      <c r="B15" s="5" t="n"/>
    </row>
    <row r="16">
      <c r="A16" s="4" t="inlineStr">
        <is>
          <t>塔屋階数</t>
        </is>
      </c>
      <c r="B16" s="5" t="n"/>
    </row>
    <row r="17">
      <c r="A17" s="4" t="inlineStr">
        <is>
          <t>延べ床面積（㎡）</t>
        </is>
      </c>
      <c r="B17" s="5" t="n"/>
    </row>
    <row r="18">
      <c r="A18" s="4" t="inlineStr">
        <is>
          <t>着工予定日</t>
        </is>
      </c>
      <c r="B18" s="5" t="n"/>
    </row>
    <row r="19">
      <c r="A19" s="4" t="inlineStr">
        <is>
          <t>完成予定日</t>
        </is>
      </c>
      <c r="B19" s="5" t="n"/>
    </row>
    <row r="20">
      <c r="A20" s="4" t="inlineStr">
        <is>
          <t>理事長名</t>
        </is>
      </c>
      <c r="B20" s="5" t="n"/>
    </row>
    <row r="22">
      <c r="A22" s="3" t="inlineStr">
        <is>
          <t>【施工者情報】</t>
        </is>
      </c>
    </row>
    <row r="23">
      <c r="A23" s="4" t="inlineStr">
        <is>
          <t>施工会社名</t>
        </is>
      </c>
      <c r="B23" s="5" t="inlineStr">
        <is>
          <t>株式会社　TSCアクセス・プロ</t>
        </is>
      </c>
    </row>
    <row r="24">
      <c r="A24" s="4" t="inlineStr">
        <is>
          <t>代表者名</t>
        </is>
      </c>
      <c r="B24" s="5" t="inlineStr">
        <is>
          <t>代表取締役　中村　勇</t>
        </is>
      </c>
    </row>
    <row r="25">
      <c r="A25" s="4" t="inlineStr">
        <is>
          <t>施工会社住所</t>
        </is>
      </c>
      <c r="B25" s="5" t="inlineStr">
        <is>
          <t>名古屋市中区栄４丁目１６番３号　山光堂ビル５階</t>
        </is>
      </c>
    </row>
    <row r="26">
      <c r="A26" s="4" t="inlineStr">
        <is>
          <t>電話番号</t>
        </is>
      </c>
      <c r="B26" s="5" t="inlineStr">
        <is>
          <t>052-269-9100</t>
        </is>
      </c>
    </row>
    <row r="28">
      <c r="A28" s="3" t="inlineStr">
        <is>
          <t>【消防設備士情報】担当者選択</t>
        </is>
      </c>
    </row>
    <row r="29">
      <c r="A29" s="4" t="inlineStr">
        <is>
          <t>氏名</t>
        </is>
      </c>
      <c r="B29" s="4" t="inlineStr">
        <is>
          <t>住所</t>
        </is>
      </c>
      <c r="C29" s="4" t="inlineStr">
        <is>
          <t>免状種類</t>
        </is>
      </c>
      <c r="D29" s="4" t="inlineStr">
        <is>
          <t>交付年月日</t>
        </is>
      </c>
      <c r="E29" s="4" t="inlineStr">
        <is>
          <t>交付番号</t>
        </is>
      </c>
      <c r="F29" s="4" t="inlineStr">
        <is>
          <t>講習年月</t>
        </is>
      </c>
      <c r="G29" s="4" t="inlineStr">
        <is>
          <t>受講地</t>
        </is>
      </c>
      <c r="H29" s="4" t="inlineStr">
        <is>
          <t>交付知事</t>
        </is>
      </c>
      <c r="I29" s="4" t="inlineStr">
        <is>
          <t>電工資格</t>
        </is>
      </c>
    </row>
    <row r="30">
      <c r="A30" s="6" t="inlineStr">
        <is>
          <t>河合　佑樹</t>
        </is>
      </c>
      <c r="B30" s="6" t="inlineStr">
        <is>
          <t>愛知県尾張旭市晴丘町東236番地4</t>
        </is>
      </c>
      <c r="C30" s="6" t="inlineStr">
        <is>
          <t>甲4</t>
        </is>
      </c>
      <c r="D30" s="6" t="inlineStr">
        <is>
          <t>R5年7月21日</t>
        </is>
      </c>
      <c r="E30" s="6" t="inlineStr">
        <is>
          <t>第00324号</t>
        </is>
      </c>
      <c r="F30" s="6" t="inlineStr"/>
      <c r="G30" s="6" t="inlineStr">
        <is>
          <t>愛知</t>
        </is>
      </c>
      <c r="H30" s="6" t="inlineStr">
        <is>
          <t>愛知</t>
        </is>
      </c>
      <c r="I30" s="6" t="inlineStr">
        <is>
          <t>第二種電気工事士 R3年9月7日 第144528号</t>
        </is>
      </c>
    </row>
    <row r="31">
      <c r="A31" s="6" t="inlineStr">
        <is>
          <t>戸田　健仁</t>
        </is>
      </c>
      <c r="B31" s="6" t="inlineStr">
        <is>
          <t>愛知県長久手市西原山1-1 ｾﾝﾄｱｰｽ502</t>
        </is>
      </c>
      <c r="C31" s="6" t="inlineStr">
        <is>
          <t>甲4</t>
        </is>
      </c>
      <c r="D31" s="6" t="inlineStr">
        <is>
          <t>R5年11月7日</t>
        </is>
      </c>
      <c r="E31" s="6" t="inlineStr">
        <is>
          <t>第00448号</t>
        </is>
      </c>
      <c r="F31" s="6" t="inlineStr"/>
      <c r="G31" s="6" t="inlineStr">
        <is>
          <t>愛知</t>
        </is>
      </c>
      <c r="H31" s="6" t="inlineStr">
        <is>
          <t>愛知</t>
        </is>
      </c>
      <c r="I31" s="6" t="inlineStr">
        <is>
          <t>第二種電気工事士 H22年10月13日 第106680号</t>
        </is>
      </c>
    </row>
    <row r="32">
      <c r="A32" s="6" t="inlineStr">
        <is>
          <t>棚町　征</t>
        </is>
      </c>
      <c r="B32" s="6" t="inlineStr">
        <is>
          <t>岐阜県土岐市泉町大富195番地の249</t>
        </is>
      </c>
      <c r="C32" s="6" t="inlineStr">
        <is>
          <t>甲4</t>
        </is>
      </c>
      <c r="D32" s="6" t="inlineStr">
        <is>
          <t>H14年10月30日</t>
        </is>
      </c>
      <c r="E32" s="6" t="inlineStr">
        <is>
          <t>第00009号</t>
        </is>
      </c>
      <c r="F32" s="6" t="inlineStr">
        <is>
          <t>令和元年10月</t>
        </is>
      </c>
      <c r="G32" s="6" t="inlineStr">
        <is>
          <t>愛知</t>
        </is>
      </c>
      <c r="H32" s="6" t="inlineStr">
        <is>
          <t>愛知</t>
        </is>
      </c>
      <c r="I32" s="6" t="inlineStr">
        <is>
          <t>第二種電気工事士 H27年12月4日 岐阜県第31879号</t>
        </is>
      </c>
    </row>
    <row r="34">
      <c r="A34" s="4" t="inlineStr">
        <is>
          <t>届出者（選択）</t>
        </is>
      </c>
      <c r="B34" s="5" t="inlineStr">
        <is>
          <t>戸田　健仁</t>
        </is>
      </c>
    </row>
    <row r="35">
      <c r="A35" s="4" t="inlineStr">
        <is>
          <t>試験実施者（選択）</t>
        </is>
      </c>
      <c r="B35" s="5" t="n"/>
    </row>
    <row r="36">
      <c r="A36" s="4" t="inlineStr">
        <is>
          <t>配線試験実施者（選択）</t>
        </is>
      </c>
      <c r="B36" s="5" t="inlineStr">
        <is>
          <t>戸田　健仁</t>
        </is>
      </c>
    </row>
    <row r="38">
      <c r="A38" s="3" t="inlineStr">
        <is>
          <t>【受信機・機器情報】</t>
        </is>
      </c>
    </row>
    <row r="39">
      <c r="A39" s="4" t="inlineStr">
        <is>
          <t>共用部 受信機型級（例：1）</t>
        </is>
      </c>
      <c r="B39" s="5" t="n">
        <v>1</v>
      </c>
    </row>
    <row r="40">
      <c r="A40" s="4" t="inlineStr">
        <is>
          <t>共用部 回線数（例：10/10）</t>
        </is>
      </c>
      <c r="B40" s="5" t="inlineStr">
        <is>
          <t>10/10</t>
        </is>
      </c>
    </row>
    <row r="41">
      <c r="A41" s="4" t="inlineStr">
        <is>
          <t>共用部 予備電源DC（V）</t>
        </is>
      </c>
      <c r="B41" s="5" t="n">
        <v>24</v>
      </c>
    </row>
    <row r="42">
      <c r="A42" s="4" t="inlineStr">
        <is>
          <t>共用部 予備電源（AH）</t>
        </is>
      </c>
      <c r="B42" s="5" t="n">
        <v>0.45</v>
      </c>
    </row>
    <row r="43">
      <c r="A43" s="4" t="inlineStr">
        <is>
          <t>共用部 受信機設置場所</t>
        </is>
      </c>
      <c r="B43" s="5" t="inlineStr">
        <is>
          <t>管理人室</t>
        </is>
      </c>
    </row>
    <row r="44">
      <c r="A44" s="4" t="inlineStr">
        <is>
          <t>共用部 受信機メーカー</t>
        </is>
      </c>
      <c r="B44" s="5" t="inlineStr">
        <is>
          <t>パナソニック㈱</t>
        </is>
      </c>
    </row>
    <row r="45">
      <c r="A45" s="4" t="inlineStr">
        <is>
          <t>共用部 受信機型式番号（受第）</t>
        </is>
      </c>
      <c r="B45" s="5" t="n"/>
    </row>
    <row r="46">
      <c r="A46" s="4" t="inlineStr">
        <is>
          <t>住戸部 受信機型級（例：3）</t>
        </is>
      </c>
      <c r="B46" s="5" t="n">
        <v>3</v>
      </c>
    </row>
    <row r="47">
      <c r="A47" s="4" t="inlineStr">
        <is>
          <t>住戸部 回線数（例：1/1）</t>
        </is>
      </c>
      <c r="B47" s="5" t="inlineStr">
        <is>
          <t>1/1</t>
        </is>
      </c>
    </row>
    <row r="48">
      <c r="A48" s="4" t="inlineStr">
        <is>
          <t>住戸部 受信機設置場所</t>
        </is>
      </c>
      <c r="B48" s="5" t="inlineStr">
        <is>
          <t>各住戸リビング</t>
        </is>
      </c>
    </row>
    <row r="49">
      <c r="A49" s="4" t="inlineStr">
        <is>
          <t>住戸部 受信機メーカー</t>
        </is>
      </c>
      <c r="B49" s="5" t="inlineStr">
        <is>
          <t>パナソニック㈱</t>
        </is>
      </c>
    </row>
    <row r="50">
      <c r="A50" s="4" t="inlineStr">
        <is>
          <t>住戸部 受信機型式番号</t>
        </is>
      </c>
      <c r="B50" s="5" t="n"/>
    </row>
    <row r="51">
      <c r="A51" s="4" t="inlineStr">
        <is>
          <t>住戸部 表示器台数</t>
        </is>
      </c>
      <c r="B51" s="5" t="n"/>
    </row>
    <row r="52">
      <c r="A52" s="4" t="inlineStr">
        <is>
          <t>全住戸数</t>
        </is>
      </c>
      <c r="B52" s="5" t="n"/>
    </row>
    <row r="53">
      <c r="A53" s="4" t="inlineStr">
        <is>
          <t>関連設備</t>
        </is>
      </c>
      <c r="B53" s="5" t="inlineStr">
        <is>
          <t>インターホン設備</t>
        </is>
      </c>
    </row>
    <row r="55">
      <c r="A55" s="3" t="inlineStr">
        <is>
          <t>【地区音響装置・発信機】</t>
        </is>
      </c>
    </row>
    <row r="56">
      <c r="A56" s="4" t="inlineStr">
        <is>
          <t>地区音響 認評音第（例：13-5）</t>
        </is>
      </c>
      <c r="B56" s="5" t="inlineStr">
        <is>
          <t>13-5</t>
        </is>
      </c>
    </row>
    <row r="57">
      <c r="A57" s="4" t="inlineStr">
        <is>
          <t>地区音響 メーカー</t>
        </is>
      </c>
      <c r="B57" s="5" t="inlineStr">
        <is>
          <t>パナソニック㈱</t>
        </is>
      </c>
    </row>
    <row r="58">
      <c r="A58" s="4" t="inlineStr">
        <is>
          <t>地区音響 電圧DC（V）</t>
        </is>
      </c>
      <c r="B58" s="5" t="n">
        <v>24</v>
      </c>
    </row>
    <row r="59">
      <c r="A59" s="4" t="inlineStr">
        <is>
          <t>地区音響 電流（mA）</t>
        </is>
      </c>
      <c r="B59" s="5" t="n">
        <v>10</v>
      </c>
    </row>
    <row r="60">
      <c r="A60" s="4" t="inlineStr">
        <is>
          <t>地区音響 個数</t>
        </is>
      </c>
      <c r="B60" s="5" t="n"/>
    </row>
    <row r="61">
      <c r="A61" s="4" t="inlineStr">
        <is>
          <t>地区音響 音量（dB）</t>
        </is>
      </c>
      <c r="B61" s="5" t="n">
        <v>95</v>
      </c>
    </row>
    <row r="62">
      <c r="A62" s="4" t="inlineStr">
        <is>
          <t>発信機 型（P等）</t>
        </is>
      </c>
      <c r="B62" s="5" t="inlineStr">
        <is>
          <t>P</t>
        </is>
      </c>
    </row>
    <row r="63">
      <c r="A63" s="4" t="inlineStr">
        <is>
          <t>発信機 級</t>
        </is>
      </c>
      <c r="B63" s="5" t="n">
        <v>1</v>
      </c>
    </row>
    <row r="64">
      <c r="A64" s="4" t="inlineStr">
        <is>
          <t>発信機 個数</t>
        </is>
      </c>
      <c r="B64" s="5" t="n"/>
    </row>
    <row r="65">
      <c r="A65" s="4" t="inlineStr">
        <is>
          <t>発信機 型式番号（発第）</t>
        </is>
      </c>
      <c r="B65" s="5" t="inlineStr">
        <is>
          <t>29-13</t>
        </is>
      </c>
    </row>
    <row r="66">
      <c r="A66" s="4" t="inlineStr">
        <is>
          <t>発信機 メーカー</t>
        </is>
      </c>
      <c r="B66" s="5" t="inlineStr">
        <is>
          <t>パナソニック㈱</t>
        </is>
      </c>
    </row>
    <row r="67">
      <c r="A67" s="4" t="inlineStr">
        <is>
          <t>表示灯 電圧DC（V）</t>
        </is>
      </c>
      <c r="B67" s="5" t="n">
        <v>24</v>
      </c>
    </row>
    <row r="68">
      <c r="A68" s="4" t="inlineStr">
        <is>
          <t>表示灯 電流（mA）</t>
        </is>
      </c>
      <c r="B68" s="5" t="n">
        <v>9</v>
      </c>
    </row>
    <row r="69">
      <c r="A69" s="4" t="inlineStr">
        <is>
          <t>表示灯 個数</t>
        </is>
      </c>
      <c r="B69" s="5" t="n"/>
    </row>
    <row r="71">
      <c r="A71" s="3" t="inlineStr">
        <is>
          <t>【工事種別】</t>
        </is>
      </c>
    </row>
    <row r="72">
      <c r="A72" s="4" t="inlineStr">
        <is>
          <t>工事種別</t>
        </is>
      </c>
      <c r="B72" s="5" t="n"/>
    </row>
    <row r="74">
      <c r="A74" s="3" t="inlineStr">
        <is>
          <t>【配線試験 絶縁抵抗値】</t>
        </is>
      </c>
    </row>
    <row r="75">
      <c r="A75" s="4" t="inlineStr">
        <is>
          <t>電源回路 電圧（V）</t>
        </is>
      </c>
      <c r="B75" s="5" t="n">
        <v>250</v>
      </c>
    </row>
    <row r="76">
      <c r="A76" s="4" t="inlineStr">
        <is>
          <t>電源回路 抵抗（MΩ）</t>
        </is>
      </c>
      <c r="B76" s="5" t="n">
        <v>150</v>
      </c>
    </row>
    <row r="77">
      <c r="A77" s="4" t="inlineStr">
        <is>
          <t>操作回路 電圧（V）</t>
        </is>
      </c>
      <c r="B77" s="5" t="n">
        <v>50</v>
      </c>
    </row>
    <row r="78">
      <c r="A78" s="4" t="inlineStr">
        <is>
          <t>操作回路 抵抗（MΩ）</t>
        </is>
      </c>
      <c r="B78" s="5" t="n">
        <v>20</v>
      </c>
    </row>
    <row r="79">
      <c r="A79" s="4" t="inlineStr">
        <is>
          <t>表示灯回路 電圧（V）</t>
        </is>
      </c>
      <c r="B79" s="5" t="n">
        <v>50</v>
      </c>
    </row>
    <row r="80">
      <c r="A80" s="4" t="inlineStr">
        <is>
          <t>表示灯回路 抵抗（MΩ）</t>
        </is>
      </c>
      <c r="B80" s="5" t="n">
        <v>20</v>
      </c>
    </row>
    <row r="81">
      <c r="A81" s="4" t="inlineStr">
        <is>
          <t>警報回路 電圧（V）</t>
        </is>
      </c>
      <c r="B81" s="5" t="n">
        <v>50</v>
      </c>
    </row>
    <row r="82">
      <c r="A82" s="4" t="inlineStr">
        <is>
          <t>警報回路 抵抗（MΩ）</t>
        </is>
      </c>
      <c r="B82" s="5" t="n">
        <v>20</v>
      </c>
    </row>
    <row r="83">
      <c r="A83" s="4" t="inlineStr">
        <is>
          <t>感知器回路 電圧（V）</t>
        </is>
      </c>
      <c r="B83" s="5" t="n">
        <v>50</v>
      </c>
    </row>
    <row r="84">
      <c r="A84" s="4" t="inlineStr">
        <is>
          <t>感知器回路 抵抗（MΩ）</t>
        </is>
      </c>
      <c r="B84" s="5" t="n">
        <v>20</v>
      </c>
    </row>
  </sheetData>
  <mergeCells count="9">
    <mergeCell ref="A74:H74"/>
    <mergeCell ref="A4:H4"/>
    <mergeCell ref="A55:H55"/>
    <mergeCell ref="A38:H38"/>
    <mergeCell ref="A2:H2"/>
    <mergeCell ref="A71:H71"/>
    <mergeCell ref="A28:H28"/>
    <mergeCell ref="A1:H1"/>
    <mergeCell ref="A22:H22"/>
  </mergeCells>
  <dataValidations count="8">
    <dataValidation sqref="B11" showDropDown="0" showInputMessage="0" showErrorMessage="0" allowBlank="1" errorTitle="入力エラー" error="リストから選択してください" type="list">
      <formula1>"5項ロ,5項イ,6項イ,6項ロ,6項ハ,16項イ"</formula1>
    </dataValidation>
    <dataValidation sqref="B13" showDropDown="0" showInputMessage="0" showErrorMessage="0" allowBlank="1" type="list">
      <formula1>"耐火構造,準耐火構造,その他"</formula1>
    </dataValidation>
    <dataValidation sqref="B10" showDropDown="0" showInputMessage="0" showErrorMessage="0" allowBlank="1" type="list">
      <formula1>"自動火災報知設備,共同住宅用自動火災報知設備,住戸用自動火災報知設備"</formula1>
    </dataValidation>
    <dataValidation sqref="B34" showDropDown="0" showInputMessage="0" showErrorMessage="0" allowBlank="1" type="list">
      <formula1>"河合　佑樹,戸田　健仁,棚町　征"</formula1>
    </dataValidation>
    <dataValidation sqref="B35" showDropDown="0" showInputMessage="0" showErrorMessage="0" allowBlank="1" type="list">
      <formula1>"河合　佑樹,戸田　健仁,棚町　征"</formula1>
    </dataValidation>
    <dataValidation sqref="B36" showDropDown="0" showInputMessage="0" showErrorMessage="0" allowBlank="1" type="list">
      <formula1>"河合　佑樹,戸田　健仁,棚町　征"</formula1>
    </dataValidation>
    <dataValidation sqref="B44 B49" showDropDown="0" showInputMessage="0" showErrorMessage="0" allowBlank="1" type="list">
      <formula1>"パナソニック㈱,ニッタン(株),能美防災㈱,ホーチキ㈱"</formula1>
    </dataValidation>
    <dataValidation sqref="B72" showDropDown="0" showInputMessage="0" showErrorMessage="0" allowBlank="1" type="list">
      <formula1>"施設,増設,移設,取替え,改造,その他"</formula1>
    </dataValidation>
  </dataValidations>
  <pageMargins left="0.75" right="0.75" top="1" bottom="1" header="0.5" footer="0.5"/>
</worksheet>
</file>

<file path=xl/worksheets/sheet2.xml><?xml version="1.0" encoding="utf-8"?>
<worksheet xmlns="http://schemas.openxmlformats.org/spreadsheetml/2006/main">
  <sheetPr>
    <tabColor rgb="000070C0"/>
    <outlinePr summaryBelow="1" summaryRight="1"/>
    <pageSetUpPr/>
  </sheetPr>
  <dimension ref="A1:Q28"/>
  <sheetViews>
    <sheetView workbookViewId="0">
      <selection activeCell="A1" sqref="A1"/>
    </sheetView>
  </sheetViews>
  <sheetFormatPr baseColWidth="8" defaultRowHeight="15"/>
  <cols>
    <col width="16" customWidth="1" min="1" max="1"/>
    <col width="16"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7" t="inlineStr">
        <is>
          <t>共用部 感知器・設備 入力表</t>
        </is>
      </c>
    </row>
    <row r="3">
      <c r="A3" s="4" t="inlineStr">
        <is>
          <t>警戒区域番号</t>
        </is>
      </c>
      <c r="B3" s="4" t="inlineStr">
        <is>
          <t>名称等</t>
        </is>
      </c>
      <c r="C3" s="4" t="inlineStr">
        <is>
          <t>住戸用受信機</t>
        </is>
      </c>
      <c r="D3" s="4" t="inlineStr">
        <is>
          <t>差動式スポット型</t>
        </is>
      </c>
      <c r="E3" s="4" t="inlineStr">
        <is>
          <t>定温式スポット型</t>
        </is>
      </c>
      <c r="F3" s="4" t="inlineStr">
        <is>
          <t>補償式スポット型</t>
        </is>
      </c>
      <c r="G3" s="4" t="inlineStr">
        <is>
          <t>熱アナログ式スポット型</t>
        </is>
      </c>
      <c r="H3" s="4" t="inlineStr">
        <is>
          <t>光電式スポット型</t>
        </is>
      </c>
      <c r="I3" s="4" t="inlineStr">
        <is>
          <t>光電アナログ式スポット型</t>
        </is>
      </c>
      <c r="J3" s="4" t="inlineStr">
        <is>
          <t>イオン化式スポット型</t>
        </is>
      </c>
      <c r="K3" s="4" t="inlineStr">
        <is>
          <t>イオン化アナログ式スポット型</t>
        </is>
      </c>
      <c r="L3" s="4" t="inlineStr">
        <is>
          <t>炎感知器</t>
        </is>
      </c>
      <c r="M3" s="4" t="inlineStr">
        <is>
          <t>音声警報装置</t>
        </is>
      </c>
      <c r="N3" s="4" t="inlineStr">
        <is>
          <t>戸外表示器</t>
        </is>
      </c>
      <c r="O3" s="4" t="inlineStr">
        <is>
          <t>外観試験</t>
        </is>
      </c>
      <c r="P3" s="4" t="inlineStr">
        <is>
          <t>機能試験</t>
        </is>
      </c>
      <c r="Q3" s="4" t="inlineStr">
        <is>
          <t>備考</t>
        </is>
      </c>
    </row>
    <row r="4">
      <c r="A4" s="5" t="n">
        <v>1</v>
      </c>
      <c r="B4" s="5" t="inlineStr">
        <is>
          <t>1階ｴﾝﾄﾗﾝｽ</t>
        </is>
      </c>
      <c r="C4" s="5" t="n"/>
      <c r="D4" s="5" t="n"/>
      <c r="E4" s="5" t="n">
        <v>5</v>
      </c>
      <c r="F4" s="5" t="n"/>
      <c r="G4" s="5" t="n"/>
      <c r="H4" s="5" t="n">
        <v>1</v>
      </c>
      <c r="I4" s="5" t="n"/>
      <c r="J4" s="5" t="n"/>
      <c r="K4" s="5" t="n"/>
      <c r="L4" s="5" t="n"/>
      <c r="M4" s="5" t="n"/>
      <c r="N4" s="5" t="n"/>
      <c r="O4" s="8">
        <f>IF(COUNTA(C4:N4)=0,"","〇")</f>
        <v/>
      </c>
      <c r="P4" s="8">
        <f>IF(COUNTA(C4:N4)=0,"","〇")</f>
        <v/>
      </c>
      <c r="Q4" s="5" t="n"/>
    </row>
    <row r="5">
      <c r="A5" s="5" t="n">
        <v>2</v>
      </c>
      <c r="B5" s="5" t="inlineStr">
        <is>
          <t>エレベーター</t>
        </is>
      </c>
      <c r="C5" s="5" t="n"/>
      <c r="D5" s="5" t="n"/>
      <c r="E5" s="5" t="n"/>
      <c r="F5" s="5" t="n"/>
      <c r="G5" s="5" t="n"/>
      <c r="H5" s="5" t="n">
        <v>1</v>
      </c>
      <c r="I5" s="5" t="n"/>
      <c r="J5" s="5" t="n"/>
      <c r="K5" s="5" t="n"/>
      <c r="L5" s="5" t="n"/>
      <c r="M5" s="5" t="n"/>
      <c r="N5" s="5" t="n"/>
      <c r="O5" s="8">
        <f>IF(COUNTA(C5:N5)=0,"","〇")</f>
        <v/>
      </c>
      <c r="P5" s="8">
        <f>IF(COUNTA(C5:N5)=0,"","〇")</f>
        <v/>
      </c>
      <c r="Q5" s="5" t="n"/>
    </row>
    <row r="6">
      <c r="A6" s="5" t="n">
        <v>3</v>
      </c>
      <c r="B6" s="5" t="inlineStr">
        <is>
          <t>1階共用部 防火戸</t>
        </is>
      </c>
      <c r="C6" s="5" t="n"/>
      <c r="D6" s="5" t="n"/>
      <c r="E6" s="5" t="n"/>
      <c r="F6" s="5" t="n"/>
      <c r="G6" s="5" t="n"/>
      <c r="H6" s="5" t="n">
        <v>2</v>
      </c>
      <c r="I6" s="5" t="n"/>
      <c r="J6" s="5" t="n"/>
      <c r="K6" s="5" t="n"/>
      <c r="L6" s="5" t="n"/>
      <c r="M6" s="5" t="n"/>
      <c r="N6" s="5" t="n"/>
      <c r="O6" s="8">
        <f>IF(COUNTA(C6:N6)=0,"","〇")</f>
        <v/>
      </c>
      <c r="P6" s="8">
        <f>IF(COUNTA(C6:N6)=0,"","〇")</f>
        <v/>
      </c>
      <c r="Q6" s="5" t="n"/>
    </row>
    <row r="7">
      <c r="A7" s="5" t="n"/>
      <c r="B7" s="5" t="n"/>
      <c r="C7" s="5" t="n"/>
      <c r="D7" s="5" t="n"/>
      <c r="E7" s="5" t="n"/>
      <c r="F7" s="5" t="n"/>
      <c r="G7" s="5" t="n"/>
      <c r="H7" s="5" t="n"/>
      <c r="I7" s="5" t="n"/>
      <c r="J7" s="5" t="n"/>
      <c r="K7" s="5" t="n"/>
      <c r="L7" s="5" t="n"/>
      <c r="M7" s="5" t="n"/>
      <c r="N7" s="5" t="n"/>
      <c r="O7" s="8">
        <f>IF(COUNTA(C7:N7)=0,"","〇")</f>
        <v/>
      </c>
      <c r="P7" s="8">
        <f>IF(COUNTA(C7:N7)=0,"","〇")</f>
        <v/>
      </c>
      <c r="Q7" s="5" t="n"/>
    </row>
    <row r="8">
      <c r="A8" s="5" t="n"/>
      <c r="B8" s="5" t="n"/>
      <c r="C8" s="5" t="n"/>
      <c r="D8" s="5" t="n"/>
      <c r="E8" s="5" t="n"/>
      <c r="F8" s="5" t="n"/>
      <c r="G8" s="5" t="n"/>
      <c r="H8" s="5" t="n"/>
      <c r="I8" s="5" t="n"/>
      <c r="J8" s="5" t="n"/>
      <c r="K8" s="5" t="n"/>
      <c r="L8" s="5" t="n"/>
      <c r="M8" s="5" t="n"/>
      <c r="N8" s="5" t="n"/>
      <c r="O8" s="8">
        <f>IF(COUNTA(C8:N8)=0,"","〇")</f>
        <v/>
      </c>
      <c r="P8" s="8">
        <f>IF(COUNTA(C8:N8)=0,"","〇")</f>
        <v/>
      </c>
      <c r="Q8" s="5" t="n"/>
    </row>
    <row r="9">
      <c r="A9" s="5" t="n"/>
      <c r="B9" s="5" t="n"/>
      <c r="C9" s="5" t="n"/>
      <c r="D9" s="5" t="n"/>
      <c r="E9" s="5" t="n"/>
      <c r="F9" s="5" t="n"/>
      <c r="G9" s="5" t="n"/>
      <c r="H9" s="5" t="n"/>
      <c r="I9" s="5" t="n"/>
      <c r="J9" s="5" t="n"/>
      <c r="K9" s="5" t="n"/>
      <c r="L9" s="5" t="n"/>
      <c r="M9" s="5" t="n"/>
      <c r="N9" s="5" t="n"/>
      <c r="O9" s="8">
        <f>IF(COUNTA(C9:N9)=0,"","〇")</f>
        <v/>
      </c>
      <c r="P9" s="8">
        <f>IF(COUNTA(C9:N9)=0,"","〇")</f>
        <v/>
      </c>
      <c r="Q9" s="5" t="n"/>
    </row>
    <row r="10">
      <c r="A10" s="5" t="n"/>
      <c r="B10" s="5" t="n"/>
      <c r="C10" s="5" t="n"/>
      <c r="D10" s="5" t="n"/>
      <c r="E10" s="5" t="n"/>
      <c r="F10" s="5" t="n"/>
      <c r="G10" s="5" t="n"/>
      <c r="H10" s="5" t="n"/>
      <c r="I10" s="5" t="n"/>
      <c r="J10" s="5" t="n"/>
      <c r="K10" s="5" t="n"/>
      <c r="L10" s="5" t="n"/>
      <c r="M10" s="5" t="n"/>
      <c r="N10" s="5" t="n"/>
      <c r="O10" s="8">
        <f>IF(COUNTA(C10:N10)=0,"","〇")</f>
        <v/>
      </c>
      <c r="P10" s="8">
        <f>IF(COUNTA(C10:N10)=0,"","〇")</f>
        <v/>
      </c>
      <c r="Q10" s="5" t="n"/>
    </row>
    <row r="11">
      <c r="A11" s="5" t="n"/>
      <c r="B11" s="5" t="n"/>
      <c r="C11" s="5" t="n"/>
      <c r="D11" s="5" t="n"/>
      <c r="E11" s="5" t="n"/>
      <c r="F11" s="5" t="n"/>
      <c r="G11" s="5" t="n"/>
      <c r="H11" s="5" t="n"/>
      <c r="I11" s="5" t="n"/>
      <c r="J11" s="5" t="n"/>
      <c r="K11" s="5" t="n"/>
      <c r="L11" s="5" t="n"/>
      <c r="M11" s="5" t="n"/>
      <c r="N11" s="5" t="n"/>
      <c r="O11" s="8">
        <f>IF(COUNTA(C11:N11)=0,"","〇")</f>
        <v/>
      </c>
      <c r="P11" s="8">
        <f>IF(COUNTA(C11:N11)=0,"","〇")</f>
        <v/>
      </c>
      <c r="Q11" s="5" t="n"/>
    </row>
    <row r="12">
      <c r="A12" s="5" t="n"/>
      <c r="B12" s="5" t="n"/>
      <c r="C12" s="5" t="n"/>
      <c r="D12" s="5" t="n"/>
      <c r="E12" s="5" t="n"/>
      <c r="F12" s="5" t="n"/>
      <c r="G12" s="5" t="n"/>
      <c r="H12" s="5" t="n"/>
      <c r="I12" s="5" t="n"/>
      <c r="J12" s="5" t="n"/>
      <c r="K12" s="5" t="n"/>
      <c r="L12" s="5" t="n"/>
      <c r="M12" s="5" t="n"/>
      <c r="N12" s="5" t="n"/>
      <c r="O12" s="8">
        <f>IF(COUNTA(C12:N12)=0,"","〇")</f>
        <v/>
      </c>
      <c r="P12" s="8">
        <f>IF(COUNTA(C12:N12)=0,"","〇")</f>
        <v/>
      </c>
      <c r="Q12" s="5" t="n"/>
    </row>
    <row r="13">
      <c r="A13" s="5" t="n"/>
      <c r="B13" s="5" t="n"/>
      <c r="C13" s="5" t="n"/>
      <c r="D13" s="5" t="n"/>
      <c r="E13" s="5" t="n"/>
      <c r="F13" s="5" t="n"/>
      <c r="G13" s="5" t="n"/>
      <c r="H13" s="5" t="n"/>
      <c r="I13" s="5" t="n"/>
      <c r="J13" s="5" t="n"/>
      <c r="K13" s="5" t="n"/>
      <c r="L13" s="5" t="n"/>
      <c r="M13" s="5" t="n"/>
      <c r="N13" s="5" t="n"/>
      <c r="O13" s="8">
        <f>IF(COUNTA(C13:N13)=0,"","〇")</f>
        <v/>
      </c>
      <c r="P13" s="8">
        <f>IF(COUNTA(C13:N13)=0,"","〇")</f>
        <v/>
      </c>
      <c r="Q13" s="5" t="n"/>
    </row>
    <row r="14">
      <c r="A14" s="5" t="n"/>
      <c r="B14" s="5" t="n"/>
      <c r="C14" s="5" t="n"/>
      <c r="D14" s="5" t="n"/>
      <c r="E14" s="5" t="n"/>
      <c r="F14" s="5" t="n"/>
      <c r="G14" s="5" t="n"/>
      <c r="H14" s="5" t="n"/>
      <c r="I14" s="5" t="n"/>
      <c r="J14" s="5" t="n"/>
      <c r="K14" s="5" t="n"/>
      <c r="L14" s="5" t="n"/>
      <c r="M14" s="5" t="n"/>
      <c r="N14" s="5" t="n"/>
      <c r="O14" s="8">
        <f>IF(COUNTA(C14:N14)=0,"","〇")</f>
        <v/>
      </c>
      <c r="P14" s="8">
        <f>IF(COUNTA(C14:N14)=0,"","〇")</f>
        <v/>
      </c>
      <c r="Q14" s="5" t="n"/>
    </row>
    <row r="15">
      <c r="A15" s="5" t="n"/>
      <c r="B15" s="5" t="n"/>
      <c r="C15" s="5" t="n"/>
      <c r="D15" s="5" t="n"/>
      <c r="E15" s="5" t="n"/>
      <c r="F15" s="5" t="n"/>
      <c r="G15" s="5" t="n"/>
      <c r="H15" s="5" t="n"/>
      <c r="I15" s="5" t="n"/>
      <c r="J15" s="5" t="n"/>
      <c r="K15" s="5" t="n"/>
      <c r="L15" s="5" t="n"/>
      <c r="M15" s="5" t="n"/>
      <c r="N15" s="5" t="n"/>
      <c r="O15" s="8">
        <f>IF(COUNTA(C15:N15)=0,"","〇")</f>
        <v/>
      </c>
      <c r="P15" s="8">
        <f>IF(COUNTA(C15:N15)=0,"","〇")</f>
        <v/>
      </c>
      <c r="Q15" s="5" t="n"/>
    </row>
    <row r="16">
      <c r="A16" s="5" t="n"/>
      <c r="B16" s="5" t="n"/>
      <c r="C16" s="5" t="n"/>
      <c r="D16" s="5" t="n"/>
      <c r="E16" s="5" t="n"/>
      <c r="F16" s="5" t="n"/>
      <c r="G16" s="5" t="n"/>
      <c r="H16" s="5" t="n"/>
      <c r="I16" s="5" t="n"/>
      <c r="J16" s="5" t="n"/>
      <c r="K16" s="5" t="n"/>
      <c r="L16" s="5" t="n"/>
      <c r="M16" s="5" t="n"/>
      <c r="N16" s="5" t="n"/>
      <c r="O16" s="8">
        <f>IF(COUNTA(C16:N16)=0,"","〇")</f>
        <v/>
      </c>
      <c r="P16" s="8">
        <f>IF(COUNTA(C16:N16)=0,"","〇")</f>
        <v/>
      </c>
      <c r="Q16" s="5" t="n"/>
    </row>
    <row r="17">
      <c r="A17" s="5" t="n"/>
      <c r="B17" s="5" t="n"/>
      <c r="C17" s="5" t="n"/>
      <c r="D17" s="5" t="n"/>
      <c r="E17" s="5" t="n"/>
      <c r="F17" s="5" t="n"/>
      <c r="G17" s="5" t="n"/>
      <c r="H17" s="5" t="n"/>
      <c r="I17" s="5" t="n"/>
      <c r="J17" s="5" t="n"/>
      <c r="K17" s="5" t="n"/>
      <c r="L17" s="5" t="n"/>
      <c r="M17" s="5" t="n"/>
      <c r="N17" s="5" t="n"/>
      <c r="O17" s="8">
        <f>IF(COUNTA(C17:N17)=0,"","〇")</f>
        <v/>
      </c>
      <c r="P17" s="8">
        <f>IF(COUNTA(C17:N17)=0,"","〇")</f>
        <v/>
      </c>
      <c r="Q17" s="5" t="n"/>
    </row>
    <row r="18">
      <c r="A18" s="5" t="n"/>
      <c r="B18" s="5" t="n"/>
      <c r="C18" s="5" t="n"/>
      <c r="D18" s="5" t="n"/>
      <c r="E18" s="5" t="n"/>
      <c r="F18" s="5" t="n"/>
      <c r="G18" s="5" t="n"/>
      <c r="H18" s="5" t="n"/>
      <c r="I18" s="5" t="n"/>
      <c r="J18" s="5" t="n"/>
      <c r="K18" s="5" t="n"/>
      <c r="L18" s="5" t="n"/>
      <c r="M18" s="5" t="n"/>
      <c r="N18" s="5" t="n"/>
      <c r="O18" s="8">
        <f>IF(COUNTA(C18:N18)=0,"","〇")</f>
        <v/>
      </c>
      <c r="P18" s="8">
        <f>IF(COUNTA(C18:N18)=0,"","〇")</f>
        <v/>
      </c>
      <c r="Q18" s="5" t="n"/>
    </row>
    <row r="19">
      <c r="A19" s="5" t="n"/>
      <c r="B19" s="5" t="n"/>
      <c r="C19" s="5" t="n"/>
      <c r="D19" s="5" t="n"/>
      <c r="E19" s="5" t="n"/>
      <c r="F19" s="5" t="n"/>
      <c r="G19" s="5" t="n"/>
      <c r="H19" s="5" t="n"/>
      <c r="I19" s="5" t="n"/>
      <c r="J19" s="5" t="n"/>
      <c r="K19" s="5" t="n"/>
      <c r="L19" s="5" t="n"/>
      <c r="M19" s="5" t="n"/>
      <c r="N19" s="5" t="n"/>
      <c r="O19" s="8">
        <f>IF(COUNTA(C19:N19)=0,"","〇")</f>
        <v/>
      </c>
      <c r="P19" s="8">
        <f>IF(COUNTA(C19:N19)=0,"","〇")</f>
        <v/>
      </c>
      <c r="Q19" s="5" t="n"/>
    </row>
    <row r="20">
      <c r="A20" s="5" t="n"/>
      <c r="B20" s="5" t="n"/>
      <c r="C20" s="5" t="n"/>
      <c r="D20" s="5" t="n"/>
      <c r="E20" s="5" t="n"/>
      <c r="F20" s="5" t="n"/>
      <c r="G20" s="5" t="n"/>
      <c r="H20" s="5" t="n"/>
      <c r="I20" s="5" t="n"/>
      <c r="J20" s="5" t="n"/>
      <c r="K20" s="5" t="n"/>
      <c r="L20" s="5" t="n"/>
      <c r="M20" s="5" t="n"/>
      <c r="N20" s="5" t="n"/>
      <c r="O20" s="8">
        <f>IF(COUNTA(C20:N20)=0,"","〇")</f>
        <v/>
      </c>
      <c r="P20" s="8">
        <f>IF(COUNTA(C20:N20)=0,"","〇")</f>
        <v/>
      </c>
      <c r="Q20" s="5" t="n"/>
    </row>
    <row r="21">
      <c r="A21" s="5" t="n"/>
      <c r="B21" s="5" t="n"/>
      <c r="C21" s="5" t="n"/>
      <c r="D21" s="5" t="n"/>
      <c r="E21" s="5" t="n"/>
      <c r="F21" s="5" t="n"/>
      <c r="G21" s="5" t="n"/>
      <c r="H21" s="5" t="n"/>
      <c r="I21" s="5" t="n"/>
      <c r="J21" s="5" t="n"/>
      <c r="K21" s="5" t="n"/>
      <c r="L21" s="5" t="n"/>
      <c r="M21" s="5" t="n"/>
      <c r="N21" s="5" t="n"/>
      <c r="O21" s="8">
        <f>IF(COUNTA(C21:N21)=0,"","〇")</f>
        <v/>
      </c>
      <c r="P21" s="8">
        <f>IF(COUNTA(C21:N21)=0,"","〇")</f>
        <v/>
      </c>
      <c r="Q21" s="5" t="n"/>
    </row>
    <row r="22">
      <c r="A22" s="5" t="n"/>
      <c r="B22" s="5" t="n"/>
      <c r="C22" s="5" t="n"/>
      <c r="D22" s="5" t="n"/>
      <c r="E22" s="5" t="n"/>
      <c r="F22" s="5" t="n"/>
      <c r="G22" s="5" t="n"/>
      <c r="H22" s="5" t="n"/>
      <c r="I22" s="5" t="n"/>
      <c r="J22" s="5" t="n"/>
      <c r="K22" s="5" t="n"/>
      <c r="L22" s="5" t="n"/>
      <c r="M22" s="5" t="n"/>
      <c r="N22" s="5" t="n"/>
      <c r="O22" s="8">
        <f>IF(COUNTA(C22:N22)=0,"","〇")</f>
        <v/>
      </c>
      <c r="P22" s="8">
        <f>IF(COUNTA(C22:N22)=0,"","〇")</f>
        <v/>
      </c>
      <c r="Q22" s="5" t="n"/>
    </row>
    <row r="23">
      <c r="A23" s="5" t="n"/>
      <c r="B23" s="5" t="n"/>
      <c r="C23" s="5" t="n"/>
      <c r="D23" s="5" t="n"/>
      <c r="E23" s="5" t="n"/>
      <c r="F23" s="5" t="n"/>
      <c r="G23" s="5" t="n"/>
      <c r="H23" s="5" t="n"/>
      <c r="I23" s="5" t="n"/>
      <c r="J23" s="5" t="n"/>
      <c r="K23" s="5" t="n"/>
      <c r="L23" s="5" t="n"/>
      <c r="M23" s="5" t="n"/>
      <c r="N23" s="5" t="n"/>
      <c r="O23" s="8">
        <f>IF(COUNTA(C23:N23)=0,"","〇")</f>
        <v/>
      </c>
      <c r="P23" s="8">
        <f>IF(COUNTA(C23:N23)=0,"","〇")</f>
        <v/>
      </c>
      <c r="Q23" s="5" t="n"/>
    </row>
    <row r="24">
      <c r="A24" s="5" t="n"/>
      <c r="B24" s="5" t="n"/>
      <c r="C24" s="5" t="n"/>
      <c r="D24" s="5" t="n"/>
      <c r="E24" s="5" t="n"/>
      <c r="F24" s="5" t="n"/>
      <c r="G24" s="5" t="n"/>
      <c r="H24" s="5" t="n"/>
      <c r="I24" s="5" t="n"/>
      <c r="J24" s="5" t="n"/>
      <c r="K24" s="5" t="n"/>
      <c r="L24" s="5" t="n"/>
      <c r="M24" s="5" t="n"/>
      <c r="N24" s="5" t="n"/>
      <c r="O24" s="8">
        <f>IF(COUNTA(C24:N24)=0,"","〇")</f>
        <v/>
      </c>
      <c r="P24" s="8">
        <f>IF(COUNTA(C24:N24)=0,"","〇")</f>
        <v/>
      </c>
      <c r="Q24" s="5" t="n"/>
    </row>
    <row r="25">
      <c r="A25" s="5" t="n"/>
      <c r="B25" s="5" t="n"/>
      <c r="C25" s="5" t="n"/>
      <c r="D25" s="5" t="n"/>
      <c r="E25" s="5" t="n"/>
      <c r="F25" s="5" t="n"/>
      <c r="G25" s="5" t="n"/>
      <c r="H25" s="5" t="n"/>
      <c r="I25" s="5" t="n"/>
      <c r="J25" s="5" t="n"/>
      <c r="K25" s="5" t="n"/>
      <c r="L25" s="5" t="n"/>
      <c r="M25" s="5" t="n"/>
      <c r="N25" s="5" t="n"/>
      <c r="O25" s="8">
        <f>IF(COUNTA(C25:N25)=0,"","〇")</f>
        <v/>
      </c>
      <c r="P25" s="8">
        <f>IF(COUNTA(C25:N25)=0,"","〇")</f>
        <v/>
      </c>
      <c r="Q25" s="5" t="n"/>
    </row>
    <row r="26">
      <c r="A26" s="5" t="n"/>
      <c r="B26" s="5" t="n"/>
      <c r="C26" s="5" t="n"/>
      <c r="D26" s="5" t="n"/>
      <c r="E26" s="5" t="n"/>
      <c r="F26" s="5" t="n"/>
      <c r="G26" s="5" t="n"/>
      <c r="H26" s="5" t="n"/>
      <c r="I26" s="5" t="n"/>
      <c r="J26" s="5" t="n"/>
      <c r="K26" s="5" t="n"/>
      <c r="L26" s="5" t="n"/>
      <c r="M26" s="5" t="n"/>
      <c r="N26" s="5" t="n"/>
      <c r="O26" s="8">
        <f>IF(COUNTA(C26:N26)=0,"","〇")</f>
        <v/>
      </c>
      <c r="P26" s="8">
        <f>IF(COUNTA(C26:N26)=0,"","〇")</f>
        <v/>
      </c>
      <c r="Q26" s="5" t="n"/>
    </row>
    <row r="27">
      <c r="A27" s="5" t="n"/>
      <c r="B27" s="5" t="n"/>
      <c r="C27" s="5" t="n"/>
      <c r="D27" s="5" t="n"/>
      <c r="E27" s="5" t="n"/>
      <c r="F27" s="5" t="n"/>
      <c r="G27" s="5" t="n"/>
      <c r="H27" s="5" t="n"/>
      <c r="I27" s="5" t="n"/>
      <c r="J27" s="5" t="n"/>
      <c r="K27" s="5" t="n"/>
      <c r="L27" s="5" t="n"/>
      <c r="M27" s="5" t="n"/>
      <c r="N27" s="5" t="n"/>
      <c r="O27" s="8">
        <f>IF(COUNTA(C27:N27)=0,"","〇")</f>
        <v/>
      </c>
      <c r="P27" s="8">
        <f>IF(COUNTA(C27:N27)=0,"","〇")</f>
        <v/>
      </c>
      <c r="Q27" s="5" t="n"/>
    </row>
    <row r="28">
      <c r="A28" s="4" t="inlineStr">
        <is>
          <t>小計</t>
        </is>
      </c>
      <c r="B28" s="9" t="n"/>
      <c r="C28" s="10">
        <f>SUM(C4:C27)</f>
        <v/>
      </c>
      <c r="D28" s="10">
        <f>SUM(D4:D27)</f>
        <v/>
      </c>
      <c r="E28" s="10">
        <f>SUM(E4:E27)</f>
        <v/>
      </c>
      <c r="F28" s="10">
        <f>SUM(F4:F27)</f>
        <v/>
      </c>
      <c r="G28" s="10">
        <f>SUM(G4:G27)</f>
        <v/>
      </c>
      <c r="H28" s="10">
        <f>SUM(H4:H27)</f>
        <v/>
      </c>
      <c r="I28" s="10">
        <f>SUM(I4:I27)</f>
        <v/>
      </c>
      <c r="J28" s="10">
        <f>SUM(J4:J27)</f>
        <v/>
      </c>
      <c r="K28" s="10">
        <f>SUM(K4:K27)</f>
        <v/>
      </c>
      <c r="L28" s="10">
        <f>SUM(L4:L27)</f>
        <v/>
      </c>
      <c r="M28" s="10">
        <f>SUM(M4:M27)</f>
        <v/>
      </c>
      <c r="N28" s="10">
        <f>SUM(N4:N27)</f>
        <v/>
      </c>
    </row>
  </sheetData>
  <mergeCells count="2">
    <mergeCell ref="A1:Q1"/>
    <mergeCell ref="A28:B28"/>
  </mergeCells>
  <dataValidations count="0"/>
  <pageMargins left="0.75" right="0.75" top="1" bottom="1" header="0.5" footer="0.5"/>
</worksheet>
</file>

<file path=xl/worksheets/sheet3.xml><?xml version="1.0" encoding="utf-8"?>
<worksheet xmlns="http://schemas.openxmlformats.org/spreadsheetml/2006/main">
  <sheetPr>
    <tabColor rgb="0000B050"/>
    <outlinePr summaryBelow="1" summaryRight="1"/>
    <pageSetUpPr/>
  </sheetPr>
  <dimension ref="A1:Q84"/>
  <sheetViews>
    <sheetView workbookViewId="0">
      <selection activeCell="A1" sqref="A1"/>
    </sheetView>
  </sheetViews>
  <sheetFormatPr baseColWidth="8" defaultRowHeight="15"/>
  <cols>
    <col width="16" customWidth="1" min="1" max="1"/>
    <col width="16"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7" t="inlineStr">
        <is>
          <t>専有部（住戸部）感知器・設備 入力表</t>
        </is>
      </c>
    </row>
    <row r="2">
      <c r="A2" s="11" t="inlineStr">
        <is>
          <t>※ 住戸数が多い場合は行を追加してください</t>
        </is>
      </c>
    </row>
    <row r="3">
      <c r="A3" s="4" t="inlineStr">
        <is>
          <t>警戒区域番号</t>
        </is>
      </c>
      <c r="B3" s="4" t="inlineStr">
        <is>
          <t>名称等</t>
        </is>
      </c>
      <c r="C3" s="4" t="inlineStr">
        <is>
          <t>住戸用受信機</t>
        </is>
      </c>
      <c r="D3" s="4" t="inlineStr">
        <is>
          <t>差動式スポット型</t>
        </is>
      </c>
      <c r="E3" s="4" t="inlineStr">
        <is>
          <t>定温式スポット型</t>
        </is>
      </c>
      <c r="F3" s="4" t="inlineStr">
        <is>
          <t>補償式スポット型</t>
        </is>
      </c>
      <c r="G3" s="4" t="inlineStr">
        <is>
          <t>熱アナログ式スポット型</t>
        </is>
      </c>
      <c r="H3" s="4" t="inlineStr">
        <is>
          <t>光電式スポット型</t>
        </is>
      </c>
      <c r="I3" s="4" t="inlineStr">
        <is>
          <t>光電アナログ式スポット型</t>
        </is>
      </c>
      <c r="J3" s="4" t="inlineStr">
        <is>
          <t>イオン化式スポット型</t>
        </is>
      </c>
      <c r="K3" s="4" t="inlineStr">
        <is>
          <t>イオン化アナログ式スポット型</t>
        </is>
      </c>
      <c r="L3" s="4" t="inlineStr">
        <is>
          <t>炎感知器</t>
        </is>
      </c>
      <c r="M3" s="4" t="inlineStr">
        <is>
          <t>音声警報装置</t>
        </is>
      </c>
      <c r="N3" s="4" t="inlineStr">
        <is>
          <t>戸外表示器</t>
        </is>
      </c>
      <c r="O3" s="4" t="inlineStr">
        <is>
          <t>外観試験</t>
        </is>
      </c>
      <c r="P3" s="4" t="inlineStr">
        <is>
          <t>機能試験</t>
        </is>
      </c>
      <c r="Q3" s="4" t="inlineStr">
        <is>
          <t>備考</t>
        </is>
      </c>
    </row>
    <row r="4">
      <c r="A4" s="5" t="n"/>
      <c r="B4" s="5" t="n"/>
      <c r="C4" s="5" t="n"/>
      <c r="D4" s="5" t="n"/>
      <c r="E4" s="5" t="n"/>
      <c r="F4" s="5" t="n"/>
      <c r="G4" s="5" t="n"/>
      <c r="H4" s="5" t="n"/>
      <c r="I4" s="5" t="n"/>
      <c r="J4" s="5" t="n"/>
      <c r="K4" s="5" t="n"/>
      <c r="L4" s="5" t="n"/>
      <c r="M4" s="5" t="n"/>
      <c r="N4" s="5" t="n"/>
      <c r="O4" s="8">
        <f>IF(COUNTA(C4:N4)=0,"","〇")</f>
        <v/>
      </c>
      <c r="P4" s="8">
        <f>IF(COUNTA(C4:N4)=0,"","〇")</f>
        <v/>
      </c>
      <c r="Q4" s="5" t="n"/>
    </row>
    <row r="5">
      <c r="A5" s="5" t="n"/>
      <c r="B5" s="5" t="n"/>
      <c r="C5" s="5" t="n"/>
      <c r="D5" s="5" t="n"/>
      <c r="E5" s="5" t="n"/>
      <c r="F5" s="5" t="n"/>
      <c r="G5" s="5" t="n"/>
      <c r="H5" s="5" t="n"/>
      <c r="I5" s="5" t="n"/>
      <c r="J5" s="5" t="n"/>
      <c r="K5" s="5" t="n"/>
      <c r="L5" s="5" t="n"/>
      <c r="M5" s="5" t="n"/>
      <c r="N5" s="5" t="n"/>
      <c r="O5" s="8">
        <f>IF(COUNTA(C5:N5)=0,"","〇")</f>
        <v/>
      </c>
      <c r="P5" s="8">
        <f>IF(COUNTA(C5:N5)=0,"","〇")</f>
        <v/>
      </c>
      <c r="Q5" s="5" t="n"/>
    </row>
    <row r="6">
      <c r="A6" s="5" t="n"/>
      <c r="B6" s="5" t="n"/>
      <c r="C6" s="5" t="n"/>
      <c r="D6" s="5" t="n"/>
      <c r="E6" s="5" t="n"/>
      <c r="F6" s="5" t="n"/>
      <c r="G6" s="5" t="n"/>
      <c r="H6" s="5" t="n"/>
      <c r="I6" s="5" t="n"/>
      <c r="J6" s="5" t="n"/>
      <c r="K6" s="5" t="n"/>
      <c r="L6" s="5" t="n"/>
      <c r="M6" s="5" t="n"/>
      <c r="N6" s="5" t="n"/>
      <c r="O6" s="8">
        <f>IF(COUNTA(C6:N6)=0,"","〇")</f>
        <v/>
      </c>
      <c r="P6" s="8">
        <f>IF(COUNTA(C6:N6)=0,"","〇")</f>
        <v/>
      </c>
      <c r="Q6" s="5" t="n"/>
    </row>
    <row r="7">
      <c r="A7" s="5" t="n"/>
      <c r="B7" s="5" t="n"/>
      <c r="C7" s="5" t="n"/>
      <c r="D7" s="5" t="n"/>
      <c r="E7" s="5" t="n"/>
      <c r="F7" s="5" t="n"/>
      <c r="G7" s="5" t="n"/>
      <c r="H7" s="5" t="n"/>
      <c r="I7" s="5" t="n"/>
      <c r="J7" s="5" t="n"/>
      <c r="K7" s="5" t="n"/>
      <c r="L7" s="5" t="n"/>
      <c r="M7" s="5" t="n"/>
      <c r="N7" s="5" t="n"/>
      <c r="O7" s="8">
        <f>IF(COUNTA(C7:N7)=0,"","〇")</f>
        <v/>
      </c>
      <c r="P7" s="8">
        <f>IF(COUNTA(C7:N7)=0,"","〇")</f>
        <v/>
      </c>
      <c r="Q7" s="5" t="n"/>
    </row>
    <row r="8">
      <c r="A8" s="5" t="n"/>
      <c r="B8" s="5" t="n"/>
      <c r="C8" s="5" t="n"/>
      <c r="D8" s="5" t="n"/>
      <c r="E8" s="5" t="n"/>
      <c r="F8" s="5" t="n"/>
      <c r="G8" s="5" t="n"/>
      <c r="H8" s="5" t="n"/>
      <c r="I8" s="5" t="n"/>
      <c r="J8" s="5" t="n"/>
      <c r="K8" s="5" t="n"/>
      <c r="L8" s="5" t="n"/>
      <c r="M8" s="5" t="n"/>
      <c r="N8" s="5" t="n"/>
      <c r="O8" s="8">
        <f>IF(COUNTA(C8:N8)=0,"","〇")</f>
        <v/>
      </c>
      <c r="P8" s="8">
        <f>IF(COUNTA(C8:N8)=0,"","〇")</f>
        <v/>
      </c>
      <c r="Q8" s="5" t="n"/>
    </row>
    <row r="9">
      <c r="A9" s="5" t="n"/>
      <c r="B9" s="5" t="n"/>
      <c r="C9" s="5" t="n"/>
      <c r="D9" s="5" t="n"/>
      <c r="E9" s="5" t="n"/>
      <c r="F9" s="5" t="n"/>
      <c r="G9" s="5" t="n"/>
      <c r="H9" s="5" t="n"/>
      <c r="I9" s="5" t="n"/>
      <c r="J9" s="5" t="n"/>
      <c r="K9" s="5" t="n"/>
      <c r="L9" s="5" t="n"/>
      <c r="M9" s="5" t="n"/>
      <c r="N9" s="5" t="n"/>
      <c r="O9" s="8">
        <f>IF(COUNTA(C9:N9)=0,"","〇")</f>
        <v/>
      </c>
      <c r="P9" s="8">
        <f>IF(COUNTA(C9:N9)=0,"","〇")</f>
        <v/>
      </c>
      <c r="Q9" s="5" t="n"/>
    </row>
    <row r="10">
      <c r="A10" s="5" t="n"/>
      <c r="B10" s="5" t="n"/>
      <c r="C10" s="5" t="n"/>
      <c r="D10" s="5" t="n"/>
      <c r="E10" s="5" t="n"/>
      <c r="F10" s="5" t="n"/>
      <c r="G10" s="5" t="n"/>
      <c r="H10" s="5" t="n"/>
      <c r="I10" s="5" t="n"/>
      <c r="J10" s="5" t="n"/>
      <c r="K10" s="5" t="n"/>
      <c r="L10" s="5" t="n"/>
      <c r="M10" s="5" t="n"/>
      <c r="N10" s="5" t="n"/>
      <c r="O10" s="8">
        <f>IF(COUNTA(C10:N10)=0,"","〇")</f>
        <v/>
      </c>
      <c r="P10" s="8">
        <f>IF(COUNTA(C10:N10)=0,"","〇")</f>
        <v/>
      </c>
      <c r="Q10" s="5" t="n"/>
    </row>
    <row r="11">
      <c r="A11" s="5" t="n"/>
      <c r="B11" s="5" t="n"/>
      <c r="C11" s="5" t="n"/>
      <c r="D11" s="5" t="n"/>
      <c r="E11" s="5" t="n"/>
      <c r="F11" s="5" t="n"/>
      <c r="G11" s="5" t="n"/>
      <c r="H11" s="5" t="n"/>
      <c r="I11" s="5" t="n"/>
      <c r="J11" s="5" t="n"/>
      <c r="K11" s="5" t="n"/>
      <c r="L11" s="5" t="n"/>
      <c r="M11" s="5" t="n"/>
      <c r="N11" s="5" t="n"/>
      <c r="O11" s="8">
        <f>IF(COUNTA(C11:N11)=0,"","〇")</f>
        <v/>
      </c>
      <c r="P11" s="8">
        <f>IF(COUNTA(C11:N11)=0,"","〇")</f>
        <v/>
      </c>
      <c r="Q11" s="5" t="n"/>
    </row>
    <row r="12">
      <c r="A12" s="5" t="n"/>
      <c r="B12" s="5" t="n"/>
      <c r="C12" s="5" t="n"/>
      <c r="D12" s="5" t="n"/>
      <c r="E12" s="5" t="n"/>
      <c r="F12" s="5" t="n"/>
      <c r="G12" s="5" t="n"/>
      <c r="H12" s="5" t="n"/>
      <c r="I12" s="5" t="n"/>
      <c r="J12" s="5" t="n"/>
      <c r="K12" s="5" t="n"/>
      <c r="L12" s="5" t="n"/>
      <c r="M12" s="5" t="n"/>
      <c r="N12" s="5" t="n"/>
      <c r="O12" s="8">
        <f>IF(COUNTA(C12:N12)=0,"","〇")</f>
        <v/>
      </c>
      <c r="P12" s="8">
        <f>IF(COUNTA(C12:N12)=0,"","〇")</f>
        <v/>
      </c>
      <c r="Q12" s="5" t="n"/>
    </row>
    <row r="13">
      <c r="A13" s="5" t="n"/>
      <c r="B13" s="5" t="n"/>
      <c r="C13" s="5" t="n"/>
      <c r="D13" s="5" t="n"/>
      <c r="E13" s="5" t="n"/>
      <c r="F13" s="5" t="n"/>
      <c r="G13" s="5" t="n"/>
      <c r="H13" s="5" t="n"/>
      <c r="I13" s="5" t="n"/>
      <c r="J13" s="5" t="n"/>
      <c r="K13" s="5" t="n"/>
      <c r="L13" s="5" t="n"/>
      <c r="M13" s="5" t="n"/>
      <c r="N13" s="5" t="n"/>
      <c r="O13" s="8">
        <f>IF(COUNTA(C13:N13)=0,"","〇")</f>
        <v/>
      </c>
      <c r="P13" s="8">
        <f>IF(COUNTA(C13:N13)=0,"","〇")</f>
        <v/>
      </c>
      <c r="Q13" s="5" t="n"/>
    </row>
    <row r="14">
      <c r="A14" s="5" t="n"/>
      <c r="B14" s="5" t="n"/>
      <c r="C14" s="5" t="n"/>
      <c r="D14" s="5" t="n"/>
      <c r="E14" s="5" t="n"/>
      <c r="F14" s="5" t="n"/>
      <c r="G14" s="5" t="n"/>
      <c r="H14" s="5" t="n"/>
      <c r="I14" s="5" t="n"/>
      <c r="J14" s="5" t="n"/>
      <c r="K14" s="5" t="n"/>
      <c r="L14" s="5" t="n"/>
      <c r="M14" s="5" t="n"/>
      <c r="N14" s="5" t="n"/>
      <c r="O14" s="8">
        <f>IF(COUNTA(C14:N14)=0,"","〇")</f>
        <v/>
      </c>
      <c r="P14" s="8">
        <f>IF(COUNTA(C14:N14)=0,"","〇")</f>
        <v/>
      </c>
      <c r="Q14" s="5" t="n"/>
    </row>
    <row r="15">
      <c r="A15" s="5" t="n"/>
      <c r="B15" s="5" t="n"/>
      <c r="C15" s="5" t="n"/>
      <c r="D15" s="5" t="n"/>
      <c r="E15" s="5" t="n"/>
      <c r="F15" s="5" t="n"/>
      <c r="G15" s="5" t="n"/>
      <c r="H15" s="5" t="n"/>
      <c r="I15" s="5" t="n"/>
      <c r="J15" s="5" t="n"/>
      <c r="K15" s="5" t="n"/>
      <c r="L15" s="5" t="n"/>
      <c r="M15" s="5" t="n"/>
      <c r="N15" s="5" t="n"/>
      <c r="O15" s="8">
        <f>IF(COUNTA(C15:N15)=0,"","〇")</f>
        <v/>
      </c>
      <c r="P15" s="8">
        <f>IF(COUNTA(C15:N15)=0,"","〇")</f>
        <v/>
      </c>
      <c r="Q15" s="5" t="n"/>
    </row>
    <row r="16">
      <c r="A16" s="5" t="n"/>
      <c r="B16" s="5" t="n"/>
      <c r="C16" s="5" t="n"/>
      <c r="D16" s="5" t="n"/>
      <c r="E16" s="5" t="n"/>
      <c r="F16" s="5" t="n"/>
      <c r="G16" s="5" t="n"/>
      <c r="H16" s="5" t="n"/>
      <c r="I16" s="5" t="n"/>
      <c r="J16" s="5" t="n"/>
      <c r="K16" s="5" t="n"/>
      <c r="L16" s="5" t="n"/>
      <c r="M16" s="5" t="n"/>
      <c r="N16" s="5" t="n"/>
      <c r="O16" s="8">
        <f>IF(COUNTA(C16:N16)=0,"","〇")</f>
        <v/>
      </c>
      <c r="P16" s="8">
        <f>IF(COUNTA(C16:N16)=0,"","〇")</f>
        <v/>
      </c>
      <c r="Q16" s="5" t="n"/>
    </row>
    <row r="17">
      <c r="A17" s="5" t="n"/>
      <c r="B17" s="5" t="n"/>
      <c r="C17" s="5" t="n"/>
      <c r="D17" s="5" t="n"/>
      <c r="E17" s="5" t="n"/>
      <c r="F17" s="5" t="n"/>
      <c r="G17" s="5" t="n"/>
      <c r="H17" s="5" t="n"/>
      <c r="I17" s="5" t="n"/>
      <c r="J17" s="5" t="n"/>
      <c r="K17" s="5" t="n"/>
      <c r="L17" s="5" t="n"/>
      <c r="M17" s="5" t="n"/>
      <c r="N17" s="5" t="n"/>
      <c r="O17" s="8">
        <f>IF(COUNTA(C17:N17)=0,"","〇")</f>
        <v/>
      </c>
      <c r="P17" s="8">
        <f>IF(COUNTA(C17:N17)=0,"","〇")</f>
        <v/>
      </c>
      <c r="Q17" s="5" t="n"/>
    </row>
    <row r="18">
      <c r="A18" s="5" t="n"/>
      <c r="B18" s="5" t="n"/>
      <c r="C18" s="5" t="n"/>
      <c r="D18" s="5" t="n"/>
      <c r="E18" s="5" t="n"/>
      <c r="F18" s="5" t="n"/>
      <c r="G18" s="5" t="n"/>
      <c r="H18" s="5" t="n"/>
      <c r="I18" s="5" t="n"/>
      <c r="J18" s="5" t="n"/>
      <c r="K18" s="5" t="n"/>
      <c r="L18" s="5" t="n"/>
      <c r="M18" s="5" t="n"/>
      <c r="N18" s="5" t="n"/>
      <c r="O18" s="8">
        <f>IF(COUNTA(C18:N18)=0,"","〇")</f>
        <v/>
      </c>
      <c r="P18" s="8">
        <f>IF(COUNTA(C18:N18)=0,"","〇")</f>
        <v/>
      </c>
      <c r="Q18" s="5" t="n"/>
    </row>
    <row r="19">
      <c r="A19" s="5" t="n"/>
      <c r="B19" s="5" t="n"/>
      <c r="C19" s="5" t="n"/>
      <c r="D19" s="5" t="n"/>
      <c r="E19" s="5" t="n"/>
      <c r="F19" s="5" t="n"/>
      <c r="G19" s="5" t="n"/>
      <c r="H19" s="5" t="n"/>
      <c r="I19" s="5" t="n"/>
      <c r="J19" s="5" t="n"/>
      <c r="K19" s="5" t="n"/>
      <c r="L19" s="5" t="n"/>
      <c r="M19" s="5" t="n"/>
      <c r="N19" s="5" t="n"/>
      <c r="O19" s="8">
        <f>IF(COUNTA(C19:N19)=0,"","〇")</f>
        <v/>
      </c>
      <c r="P19" s="8">
        <f>IF(COUNTA(C19:N19)=0,"","〇")</f>
        <v/>
      </c>
      <c r="Q19" s="5" t="n"/>
    </row>
    <row r="20">
      <c r="A20" s="5" t="n"/>
      <c r="B20" s="5" t="n"/>
      <c r="C20" s="5" t="n"/>
      <c r="D20" s="5" t="n"/>
      <c r="E20" s="5" t="n"/>
      <c r="F20" s="5" t="n"/>
      <c r="G20" s="5" t="n"/>
      <c r="H20" s="5" t="n"/>
      <c r="I20" s="5" t="n"/>
      <c r="J20" s="5" t="n"/>
      <c r="K20" s="5" t="n"/>
      <c r="L20" s="5" t="n"/>
      <c r="M20" s="5" t="n"/>
      <c r="N20" s="5" t="n"/>
      <c r="O20" s="8">
        <f>IF(COUNTA(C20:N20)=0,"","〇")</f>
        <v/>
      </c>
      <c r="P20" s="8">
        <f>IF(COUNTA(C20:N20)=0,"","〇")</f>
        <v/>
      </c>
      <c r="Q20" s="5" t="n"/>
    </row>
    <row r="21">
      <c r="A21" s="5" t="n"/>
      <c r="B21" s="5" t="n"/>
      <c r="C21" s="5" t="n"/>
      <c r="D21" s="5" t="n"/>
      <c r="E21" s="5" t="n"/>
      <c r="F21" s="5" t="n"/>
      <c r="G21" s="5" t="n"/>
      <c r="H21" s="5" t="n"/>
      <c r="I21" s="5" t="n"/>
      <c r="J21" s="5" t="n"/>
      <c r="K21" s="5" t="n"/>
      <c r="L21" s="5" t="n"/>
      <c r="M21" s="5" t="n"/>
      <c r="N21" s="5" t="n"/>
      <c r="O21" s="8">
        <f>IF(COUNTA(C21:N21)=0,"","〇")</f>
        <v/>
      </c>
      <c r="P21" s="8">
        <f>IF(COUNTA(C21:N21)=0,"","〇")</f>
        <v/>
      </c>
      <c r="Q21" s="5" t="n"/>
    </row>
    <row r="22">
      <c r="A22" s="5" t="n"/>
      <c r="B22" s="5" t="n"/>
      <c r="C22" s="5" t="n"/>
      <c r="D22" s="5" t="n"/>
      <c r="E22" s="5" t="n"/>
      <c r="F22" s="5" t="n"/>
      <c r="G22" s="5" t="n"/>
      <c r="H22" s="5" t="n"/>
      <c r="I22" s="5" t="n"/>
      <c r="J22" s="5" t="n"/>
      <c r="K22" s="5" t="n"/>
      <c r="L22" s="5" t="n"/>
      <c r="M22" s="5" t="n"/>
      <c r="N22" s="5" t="n"/>
      <c r="O22" s="8">
        <f>IF(COUNTA(C22:N22)=0,"","〇")</f>
        <v/>
      </c>
      <c r="P22" s="8">
        <f>IF(COUNTA(C22:N22)=0,"","〇")</f>
        <v/>
      </c>
      <c r="Q22" s="5" t="n"/>
    </row>
    <row r="23">
      <c r="A23" s="5" t="n"/>
      <c r="B23" s="5" t="n"/>
      <c r="C23" s="5" t="n"/>
      <c r="D23" s="5" t="n"/>
      <c r="E23" s="5" t="n"/>
      <c r="F23" s="5" t="n"/>
      <c r="G23" s="5" t="n"/>
      <c r="H23" s="5" t="n"/>
      <c r="I23" s="5" t="n"/>
      <c r="J23" s="5" t="n"/>
      <c r="K23" s="5" t="n"/>
      <c r="L23" s="5" t="n"/>
      <c r="M23" s="5" t="n"/>
      <c r="N23" s="5" t="n"/>
      <c r="O23" s="8">
        <f>IF(COUNTA(C23:N23)=0,"","〇")</f>
        <v/>
      </c>
      <c r="P23" s="8">
        <f>IF(COUNTA(C23:N23)=0,"","〇")</f>
        <v/>
      </c>
      <c r="Q23" s="5" t="n"/>
    </row>
    <row r="24">
      <c r="A24" s="5" t="n"/>
      <c r="B24" s="5" t="n"/>
      <c r="C24" s="5" t="n"/>
      <c r="D24" s="5" t="n"/>
      <c r="E24" s="5" t="n"/>
      <c r="F24" s="5" t="n"/>
      <c r="G24" s="5" t="n"/>
      <c r="H24" s="5" t="n"/>
      <c r="I24" s="5" t="n"/>
      <c r="J24" s="5" t="n"/>
      <c r="K24" s="5" t="n"/>
      <c r="L24" s="5" t="n"/>
      <c r="M24" s="5" t="n"/>
      <c r="N24" s="5" t="n"/>
      <c r="O24" s="8">
        <f>IF(COUNTA(C24:N24)=0,"","〇")</f>
        <v/>
      </c>
      <c r="P24" s="8">
        <f>IF(COUNTA(C24:N24)=0,"","〇")</f>
        <v/>
      </c>
      <c r="Q24" s="5" t="n"/>
    </row>
    <row r="25">
      <c r="A25" s="5" t="n"/>
      <c r="B25" s="5" t="n"/>
      <c r="C25" s="5" t="n"/>
      <c r="D25" s="5" t="n"/>
      <c r="E25" s="5" t="n"/>
      <c r="F25" s="5" t="n"/>
      <c r="G25" s="5" t="n"/>
      <c r="H25" s="5" t="n"/>
      <c r="I25" s="5" t="n"/>
      <c r="J25" s="5" t="n"/>
      <c r="K25" s="5" t="n"/>
      <c r="L25" s="5" t="n"/>
      <c r="M25" s="5" t="n"/>
      <c r="N25" s="5" t="n"/>
      <c r="O25" s="8">
        <f>IF(COUNTA(C25:N25)=0,"","〇")</f>
        <v/>
      </c>
      <c r="P25" s="8">
        <f>IF(COUNTA(C25:N25)=0,"","〇")</f>
        <v/>
      </c>
      <c r="Q25" s="5" t="n"/>
    </row>
    <row r="26">
      <c r="A26" s="5" t="n"/>
      <c r="B26" s="5" t="n"/>
      <c r="C26" s="5" t="n"/>
      <c r="D26" s="5" t="n"/>
      <c r="E26" s="5" t="n"/>
      <c r="F26" s="5" t="n"/>
      <c r="G26" s="5" t="n"/>
      <c r="H26" s="5" t="n"/>
      <c r="I26" s="5" t="n"/>
      <c r="J26" s="5" t="n"/>
      <c r="K26" s="5" t="n"/>
      <c r="L26" s="5" t="n"/>
      <c r="M26" s="5" t="n"/>
      <c r="N26" s="5" t="n"/>
      <c r="O26" s="8">
        <f>IF(COUNTA(C26:N26)=0,"","〇")</f>
        <v/>
      </c>
      <c r="P26" s="8">
        <f>IF(COUNTA(C26:N26)=0,"","〇")</f>
        <v/>
      </c>
      <c r="Q26" s="5" t="n"/>
    </row>
    <row r="27">
      <c r="A27" s="5" t="n"/>
      <c r="B27" s="5" t="n"/>
      <c r="C27" s="5" t="n"/>
      <c r="D27" s="5" t="n"/>
      <c r="E27" s="5" t="n"/>
      <c r="F27" s="5" t="n"/>
      <c r="G27" s="5" t="n"/>
      <c r="H27" s="5" t="n"/>
      <c r="I27" s="5" t="n"/>
      <c r="J27" s="5" t="n"/>
      <c r="K27" s="5" t="n"/>
      <c r="L27" s="5" t="n"/>
      <c r="M27" s="5" t="n"/>
      <c r="N27" s="5" t="n"/>
      <c r="O27" s="8">
        <f>IF(COUNTA(C27:N27)=0,"","〇")</f>
        <v/>
      </c>
      <c r="P27" s="8">
        <f>IF(COUNTA(C27:N27)=0,"","〇")</f>
        <v/>
      </c>
      <c r="Q27" s="5" t="n"/>
    </row>
    <row r="28">
      <c r="A28" s="5" t="n"/>
      <c r="B28" s="5" t="n"/>
      <c r="C28" s="5" t="n"/>
      <c r="D28" s="5" t="n"/>
      <c r="E28" s="5" t="n"/>
      <c r="F28" s="5" t="n"/>
      <c r="G28" s="5" t="n"/>
      <c r="H28" s="5" t="n"/>
      <c r="I28" s="5" t="n"/>
      <c r="J28" s="5" t="n"/>
      <c r="K28" s="5" t="n"/>
      <c r="L28" s="5" t="n"/>
      <c r="M28" s="5" t="n"/>
      <c r="N28" s="5" t="n"/>
      <c r="O28" s="8">
        <f>IF(COUNTA(C28:N28)=0,"","〇")</f>
        <v/>
      </c>
      <c r="P28" s="8">
        <f>IF(COUNTA(C28:N28)=0,"","〇")</f>
        <v/>
      </c>
      <c r="Q28" s="5" t="n"/>
    </row>
    <row r="29">
      <c r="A29" s="5" t="n"/>
      <c r="B29" s="5" t="n"/>
      <c r="C29" s="5" t="n"/>
      <c r="D29" s="5" t="n"/>
      <c r="E29" s="5" t="n"/>
      <c r="F29" s="5" t="n"/>
      <c r="G29" s="5" t="n"/>
      <c r="H29" s="5" t="n"/>
      <c r="I29" s="5" t="n"/>
      <c r="J29" s="5" t="n"/>
      <c r="K29" s="5" t="n"/>
      <c r="L29" s="5" t="n"/>
      <c r="M29" s="5" t="n"/>
      <c r="N29" s="5" t="n"/>
      <c r="O29" s="8">
        <f>IF(COUNTA(C29:N29)=0,"","〇")</f>
        <v/>
      </c>
      <c r="P29" s="8">
        <f>IF(COUNTA(C29:N29)=0,"","〇")</f>
        <v/>
      </c>
      <c r="Q29" s="5" t="n"/>
    </row>
    <row r="30">
      <c r="A30" s="5" t="n"/>
      <c r="B30" s="5" t="n"/>
      <c r="C30" s="5" t="n"/>
      <c r="D30" s="5" t="n"/>
      <c r="E30" s="5" t="n"/>
      <c r="F30" s="5" t="n"/>
      <c r="G30" s="5" t="n"/>
      <c r="H30" s="5" t="n"/>
      <c r="I30" s="5" t="n"/>
      <c r="J30" s="5" t="n"/>
      <c r="K30" s="5" t="n"/>
      <c r="L30" s="5" t="n"/>
      <c r="M30" s="5" t="n"/>
      <c r="N30" s="5" t="n"/>
      <c r="O30" s="8">
        <f>IF(COUNTA(C30:N30)=0,"","〇")</f>
        <v/>
      </c>
      <c r="P30" s="8">
        <f>IF(COUNTA(C30:N30)=0,"","〇")</f>
        <v/>
      </c>
      <c r="Q30" s="5" t="n"/>
    </row>
    <row r="31">
      <c r="A31" s="5" t="n"/>
      <c r="B31" s="5" t="n"/>
      <c r="C31" s="5" t="n"/>
      <c r="D31" s="5" t="n"/>
      <c r="E31" s="5" t="n"/>
      <c r="F31" s="5" t="n"/>
      <c r="G31" s="5" t="n"/>
      <c r="H31" s="5" t="n"/>
      <c r="I31" s="5" t="n"/>
      <c r="J31" s="5" t="n"/>
      <c r="K31" s="5" t="n"/>
      <c r="L31" s="5" t="n"/>
      <c r="M31" s="5" t="n"/>
      <c r="N31" s="5" t="n"/>
      <c r="O31" s="8">
        <f>IF(COUNTA(C31:N31)=0,"","〇")</f>
        <v/>
      </c>
      <c r="P31" s="8">
        <f>IF(COUNTA(C31:N31)=0,"","〇")</f>
        <v/>
      </c>
      <c r="Q31" s="5" t="n"/>
    </row>
    <row r="32">
      <c r="A32" s="5" t="n"/>
      <c r="B32" s="5" t="n"/>
      <c r="C32" s="5" t="n"/>
      <c r="D32" s="5" t="n"/>
      <c r="E32" s="5" t="n"/>
      <c r="F32" s="5" t="n"/>
      <c r="G32" s="5" t="n"/>
      <c r="H32" s="5" t="n"/>
      <c r="I32" s="5" t="n"/>
      <c r="J32" s="5" t="n"/>
      <c r="K32" s="5" t="n"/>
      <c r="L32" s="5" t="n"/>
      <c r="M32" s="5" t="n"/>
      <c r="N32" s="5" t="n"/>
      <c r="O32" s="8">
        <f>IF(COUNTA(C32:N32)=0,"","〇")</f>
        <v/>
      </c>
      <c r="P32" s="8">
        <f>IF(COUNTA(C32:N32)=0,"","〇")</f>
        <v/>
      </c>
      <c r="Q32" s="5" t="n"/>
    </row>
    <row r="33">
      <c r="A33" s="5" t="n"/>
      <c r="B33" s="5" t="n"/>
      <c r="C33" s="5" t="n"/>
      <c r="D33" s="5" t="n"/>
      <c r="E33" s="5" t="n"/>
      <c r="F33" s="5" t="n"/>
      <c r="G33" s="5" t="n"/>
      <c r="H33" s="5" t="n"/>
      <c r="I33" s="5" t="n"/>
      <c r="J33" s="5" t="n"/>
      <c r="K33" s="5" t="n"/>
      <c r="L33" s="5" t="n"/>
      <c r="M33" s="5" t="n"/>
      <c r="N33" s="5" t="n"/>
      <c r="O33" s="8">
        <f>IF(COUNTA(C33:N33)=0,"","〇")</f>
        <v/>
      </c>
      <c r="P33" s="8">
        <f>IF(COUNTA(C33:N33)=0,"","〇")</f>
        <v/>
      </c>
      <c r="Q33" s="5" t="n"/>
    </row>
    <row r="34">
      <c r="A34" s="5" t="n"/>
      <c r="B34" s="5" t="n"/>
      <c r="C34" s="5" t="n"/>
      <c r="D34" s="5" t="n"/>
      <c r="E34" s="5" t="n"/>
      <c r="F34" s="5" t="n"/>
      <c r="G34" s="5" t="n"/>
      <c r="H34" s="5" t="n"/>
      <c r="I34" s="5" t="n"/>
      <c r="J34" s="5" t="n"/>
      <c r="K34" s="5" t="n"/>
      <c r="L34" s="5" t="n"/>
      <c r="M34" s="5" t="n"/>
      <c r="N34" s="5" t="n"/>
      <c r="O34" s="8">
        <f>IF(COUNTA(C34:N34)=0,"","〇")</f>
        <v/>
      </c>
      <c r="P34" s="8">
        <f>IF(COUNTA(C34:N34)=0,"","〇")</f>
        <v/>
      </c>
      <c r="Q34" s="5" t="n"/>
    </row>
    <row r="35">
      <c r="A35" s="5" t="n"/>
      <c r="B35" s="5" t="n"/>
      <c r="C35" s="5" t="n"/>
      <c r="D35" s="5" t="n"/>
      <c r="E35" s="5" t="n"/>
      <c r="F35" s="5" t="n"/>
      <c r="G35" s="5" t="n"/>
      <c r="H35" s="5" t="n"/>
      <c r="I35" s="5" t="n"/>
      <c r="J35" s="5" t="n"/>
      <c r="K35" s="5" t="n"/>
      <c r="L35" s="5" t="n"/>
      <c r="M35" s="5" t="n"/>
      <c r="N35" s="5" t="n"/>
      <c r="O35" s="8">
        <f>IF(COUNTA(C35:N35)=0,"","〇")</f>
        <v/>
      </c>
      <c r="P35" s="8">
        <f>IF(COUNTA(C35:N35)=0,"","〇")</f>
        <v/>
      </c>
      <c r="Q35" s="5" t="n"/>
    </row>
    <row r="36">
      <c r="A36" s="5" t="n"/>
      <c r="B36" s="5" t="n"/>
      <c r="C36" s="5" t="n"/>
      <c r="D36" s="5" t="n"/>
      <c r="E36" s="5" t="n"/>
      <c r="F36" s="5" t="n"/>
      <c r="G36" s="5" t="n"/>
      <c r="H36" s="5" t="n"/>
      <c r="I36" s="5" t="n"/>
      <c r="J36" s="5" t="n"/>
      <c r="K36" s="5" t="n"/>
      <c r="L36" s="5" t="n"/>
      <c r="M36" s="5" t="n"/>
      <c r="N36" s="5" t="n"/>
      <c r="O36" s="8">
        <f>IF(COUNTA(C36:N36)=0,"","〇")</f>
        <v/>
      </c>
      <c r="P36" s="8">
        <f>IF(COUNTA(C36:N36)=0,"","〇")</f>
        <v/>
      </c>
      <c r="Q36" s="5" t="n"/>
    </row>
    <row r="37">
      <c r="A37" s="5" t="n"/>
      <c r="B37" s="5" t="n"/>
      <c r="C37" s="5" t="n"/>
      <c r="D37" s="5" t="n"/>
      <c r="E37" s="5" t="n"/>
      <c r="F37" s="5" t="n"/>
      <c r="G37" s="5" t="n"/>
      <c r="H37" s="5" t="n"/>
      <c r="I37" s="5" t="n"/>
      <c r="J37" s="5" t="n"/>
      <c r="K37" s="5" t="n"/>
      <c r="L37" s="5" t="n"/>
      <c r="M37" s="5" t="n"/>
      <c r="N37" s="5" t="n"/>
      <c r="O37" s="8">
        <f>IF(COUNTA(C37:N37)=0,"","〇")</f>
        <v/>
      </c>
      <c r="P37" s="8">
        <f>IF(COUNTA(C37:N37)=0,"","〇")</f>
        <v/>
      </c>
      <c r="Q37" s="5" t="n"/>
    </row>
    <row r="38">
      <c r="A38" s="5" t="n"/>
      <c r="B38" s="5" t="n"/>
      <c r="C38" s="5" t="n"/>
      <c r="D38" s="5" t="n"/>
      <c r="E38" s="5" t="n"/>
      <c r="F38" s="5" t="n"/>
      <c r="G38" s="5" t="n"/>
      <c r="H38" s="5" t="n"/>
      <c r="I38" s="5" t="n"/>
      <c r="J38" s="5" t="n"/>
      <c r="K38" s="5" t="n"/>
      <c r="L38" s="5" t="n"/>
      <c r="M38" s="5" t="n"/>
      <c r="N38" s="5" t="n"/>
      <c r="O38" s="8">
        <f>IF(COUNTA(C38:N38)=0,"","〇")</f>
        <v/>
      </c>
      <c r="P38" s="8">
        <f>IF(COUNTA(C38:N38)=0,"","〇")</f>
        <v/>
      </c>
      <c r="Q38" s="5" t="n"/>
    </row>
    <row r="39">
      <c r="A39" s="5" t="n"/>
      <c r="B39" s="5" t="n"/>
      <c r="C39" s="5" t="n"/>
      <c r="D39" s="5" t="n"/>
      <c r="E39" s="5" t="n"/>
      <c r="F39" s="5" t="n"/>
      <c r="G39" s="5" t="n"/>
      <c r="H39" s="5" t="n"/>
      <c r="I39" s="5" t="n"/>
      <c r="J39" s="5" t="n"/>
      <c r="K39" s="5" t="n"/>
      <c r="L39" s="5" t="n"/>
      <c r="M39" s="5" t="n"/>
      <c r="N39" s="5" t="n"/>
      <c r="O39" s="8">
        <f>IF(COUNTA(C39:N39)=0,"","〇")</f>
        <v/>
      </c>
      <c r="P39" s="8">
        <f>IF(COUNTA(C39:N39)=0,"","〇")</f>
        <v/>
      </c>
      <c r="Q39" s="5" t="n"/>
    </row>
    <row r="40">
      <c r="A40" s="5" t="n"/>
      <c r="B40" s="5" t="n"/>
      <c r="C40" s="5" t="n"/>
      <c r="D40" s="5" t="n"/>
      <c r="E40" s="5" t="n"/>
      <c r="F40" s="5" t="n"/>
      <c r="G40" s="5" t="n"/>
      <c r="H40" s="5" t="n"/>
      <c r="I40" s="5" t="n"/>
      <c r="J40" s="5" t="n"/>
      <c r="K40" s="5" t="n"/>
      <c r="L40" s="5" t="n"/>
      <c r="M40" s="5" t="n"/>
      <c r="N40" s="5" t="n"/>
      <c r="O40" s="8">
        <f>IF(COUNTA(C40:N40)=0,"","〇")</f>
        <v/>
      </c>
      <c r="P40" s="8">
        <f>IF(COUNTA(C40:N40)=0,"","〇")</f>
        <v/>
      </c>
      <c r="Q40" s="5" t="n"/>
    </row>
    <row r="41">
      <c r="A41" s="5" t="n"/>
      <c r="B41" s="5" t="n"/>
      <c r="C41" s="5" t="n"/>
      <c r="D41" s="5" t="n"/>
      <c r="E41" s="5" t="n"/>
      <c r="F41" s="5" t="n"/>
      <c r="G41" s="5" t="n"/>
      <c r="H41" s="5" t="n"/>
      <c r="I41" s="5" t="n"/>
      <c r="J41" s="5" t="n"/>
      <c r="K41" s="5" t="n"/>
      <c r="L41" s="5" t="n"/>
      <c r="M41" s="5" t="n"/>
      <c r="N41" s="5" t="n"/>
      <c r="O41" s="8">
        <f>IF(COUNTA(C41:N41)=0,"","〇")</f>
        <v/>
      </c>
      <c r="P41" s="8">
        <f>IF(COUNTA(C41:N41)=0,"","〇")</f>
        <v/>
      </c>
      <c r="Q41" s="5" t="n"/>
    </row>
    <row r="42">
      <c r="A42" s="5" t="n"/>
      <c r="B42" s="5" t="n"/>
      <c r="C42" s="5" t="n"/>
      <c r="D42" s="5" t="n"/>
      <c r="E42" s="5" t="n"/>
      <c r="F42" s="5" t="n"/>
      <c r="G42" s="5" t="n"/>
      <c r="H42" s="5" t="n"/>
      <c r="I42" s="5" t="n"/>
      <c r="J42" s="5" t="n"/>
      <c r="K42" s="5" t="n"/>
      <c r="L42" s="5" t="n"/>
      <c r="M42" s="5" t="n"/>
      <c r="N42" s="5" t="n"/>
      <c r="O42" s="8">
        <f>IF(COUNTA(C42:N42)=0,"","〇")</f>
        <v/>
      </c>
      <c r="P42" s="8">
        <f>IF(COUNTA(C42:N42)=0,"","〇")</f>
        <v/>
      </c>
      <c r="Q42" s="5" t="n"/>
    </row>
    <row r="43">
      <c r="A43" s="5" t="n"/>
      <c r="B43" s="5" t="n"/>
      <c r="C43" s="5" t="n"/>
      <c r="D43" s="5" t="n"/>
      <c r="E43" s="5" t="n"/>
      <c r="F43" s="5" t="n"/>
      <c r="G43" s="5" t="n"/>
      <c r="H43" s="5" t="n"/>
      <c r="I43" s="5" t="n"/>
      <c r="J43" s="5" t="n"/>
      <c r="K43" s="5" t="n"/>
      <c r="L43" s="5" t="n"/>
      <c r="M43" s="5" t="n"/>
      <c r="N43" s="5" t="n"/>
      <c r="O43" s="8">
        <f>IF(COUNTA(C43:N43)=0,"","〇")</f>
        <v/>
      </c>
      <c r="P43" s="8">
        <f>IF(COUNTA(C43:N43)=0,"","〇")</f>
        <v/>
      </c>
      <c r="Q43" s="5" t="n"/>
    </row>
    <row r="44">
      <c r="A44" s="5" t="n"/>
      <c r="B44" s="5" t="n"/>
      <c r="C44" s="5" t="n"/>
      <c r="D44" s="5" t="n"/>
      <c r="E44" s="5" t="n"/>
      <c r="F44" s="5" t="n"/>
      <c r="G44" s="5" t="n"/>
      <c r="H44" s="5" t="n"/>
      <c r="I44" s="5" t="n"/>
      <c r="J44" s="5" t="n"/>
      <c r="K44" s="5" t="n"/>
      <c r="L44" s="5" t="n"/>
      <c r="M44" s="5" t="n"/>
      <c r="N44" s="5" t="n"/>
      <c r="O44" s="8">
        <f>IF(COUNTA(C44:N44)=0,"","〇")</f>
        <v/>
      </c>
      <c r="P44" s="8">
        <f>IF(COUNTA(C44:N44)=0,"","〇")</f>
        <v/>
      </c>
      <c r="Q44" s="5" t="n"/>
    </row>
    <row r="45">
      <c r="A45" s="5" t="n"/>
      <c r="B45" s="5" t="n"/>
      <c r="C45" s="5" t="n"/>
      <c r="D45" s="5" t="n"/>
      <c r="E45" s="5" t="n"/>
      <c r="F45" s="5" t="n"/>
      <c r="G45" s="5" t="n"/>
      <c r="H45" s="5" t="n"/>
      <c r="I45" s="5" t="n"/>
      <c r="J45" s="5" t="n"/>
      <c r="K45" s="5" t="n"/>
      <c r="L45" s="5" t="n"/>
      <c r="M45" s="5" t="n"/>
      <c r="N45" s="5" t="n"/>
      <c r="O45" s="8">
        <f>IF(COUNTA(C45:N45)=0,"","〇")</f>
        <v/>
      </c>
      <c r="P45" s="8">
        <f>IF(COUNTA(C45:N45)=0,"","〇")</f>
        <v/>
      </c>
      <c r="Q45" s="5" t="n"/>
    </row>
    <row r="46">
      <c r="A46" s="5" t="n"/>
      <c r="B46" s="5" t="n"/>
      <c r="C46" s="5" t="n"/>
      <c r="D46" s="5" t="n"/>
      <c r="E46" s="5" t="n"/>
      <c r="F46" s="5" t="n"/>
      <c r="G46" s="5" t="n"/>
      <c r="H46" s="5" t="n"/>
      <c r="I46" s="5" t="n"/>
      <c r="J46" s="5" t="n"/>
      <c r="K46" s="5" t="n"/>
      <c r="L46" s="5" t="n"/>
      <c r="M46" s="5" t="n"/>
      <c r="N46" s="5" t="n"/>
      <c r="O46" s="8">
        <f>IF(COUNTA(C46:N46)=0,"","〇")</f>
        <v/>
      </c>
      <c r="P46" s="8">
        <f>IF(COUNTA(C46:N46)=0,"","〇")</f>
        <v/>
      </c>
      <c r="Q46" s="5" t="n"/>
    </row>
    <row r="47">
      <c r="A47" s="5" t="n"/>
      <c r="B47" s="5" t="n"/>
      <c r="C47" s="5" t="n"/>
      <c r="D47" s="5" t="n"/>
      <c r="E47" s="5" t="n"/>
      <c r="F47" s="5" t="n"/>
      <c r="G47" s="5" t="n"/>
      <c r="H47" s="5" t="n"/>
      <c r="I47" s="5" t="n"/>
      <c r="J47" s="5" t="n"/>
      <c r="K47" s="5" t="n"/>
      <c r="L47" s="5" t="n"/>
      <c r="M47" s="5" t="n"/>
      <c r="N47" s="5" t="n"/>
      <c r="O47" s="8">
        <f>IF(COUNTA(C47:N47)=0,"","〇")</f>
        <v/>
      </c>
      <c r="P47" s="8">
        <f>IF(COUNTA(C47:N47)=0,"","〇")</f>
        <v/>
      </c>
      <c r="Q47" s="5" t="n"/>
    </row>
    <row r="48">
      <c r="A48" s="5" t="n"/>
      <c r="B48" s="5" t="n"/>
      <c r="C48" s="5" t="n"/>
      <c r="D48" s="5" t="n"/>
      <c r="E48" s="5" t="n"/>
      <c r="F48" s="5" t="n"/>
      <c r="G48" s="5" t="n"/>
      <c r="H48" s="5" t="n"/>
      <c r="I48" s="5" t="n"/>
      <c r="J48" s="5" t="n"/>
      <c r="K48" s="5" t="n"/>
      <c r="L48" s="5" t="n"/>
      <c r="M48" s="5" t="n"/>
      <c r="N48" s="5" t="n"/>
      <c r="O48" s="8">
        <f>IF(COUNTA(C48:N48)=0,"","〇")</f>
        <v/>
      </c>
      <c r="P48" s="8">
        <f>IF(COUNTA(C48:N48)=0,"","〇")</f>
        <v/>
      </c>
      <c r="Q48" s="5" t="n"/>
    </row>
    <row r="49">
      <c r="A49" s="5" t="n"/>
      <c r="B49" s="5" t="n"/>
      <c r="C49" s="5" t="n"/>
      <c r="D49" s="5" t="n"/>
      <c r="E49" s="5" t="n"/>
      <c r="F49" s="5" t="n"/>
      <c r="G49" s="5" t="n"/>
      <c r="H49" s="5" t="n"/>
      <c r="I49" s="5" t="n"/>
      <c r="J49" s="5" t="n"/>
      <c r="K49" s="5" t="n"/>
      <c r="L49" s="5" t="n"/>
      <c r="M49" s="5" t="n"/>
      <c r="N49" s="5" t="n"/>
      <c r="O49" s="8">
        <f>IF(COUNTA(C49:N49)=0,"","〇")</f>
        <v/>
      </c>
      <c r="P49" s="8">
        <f>IF(COUNTA(C49:N49)=0,"","〇")</f>
        <v/>
      </c>
      <c r="Q49" s="5" t="n"/>
    </row>
    <row r="50">
      <c r="A50" s="5" t="n"/>
      <c r="B50" s="5" t="n"/>
      <c r="C50" s="5" t="n"/>
      <c r="D50" s="5" t="n"/>
      <c r="E50" s="5" t="n"/>
      <c r="F50" s="5" t="n"/>
      <c r="G50" s="5" t="n"/>
      <c r="H50" s="5" t="n"/>
      <c r="I50" s="5" t="n"/>
      <c r="J50" s="5" t="n"/>
      <c r="K50" s="5" t="n"/>
      <c r="L50" s="5" t="n"/>
      <c r="M50" s="5" t="n"/>
      <c r="N50" s="5" t="n"/>
      <c r="O50" s="8">
        <f>IF(COUNTA(C50:N50)=0,"","〇")</f>
        <v/>
      </c>
      <c r="P50" s="8">
        <f>IF(COUNTA(C50:N50)=0,"","〇")</f>
        <v/>
      </c>
      <c r="Q50" s="5" t="n"/>
    </row>
    <row r="51">
      <c r="A51" s="5" t="n"/>
      <c r="B51" s="5" t="n"/>
      <c r="C51" s="5" t="n"/>
      <c r="D51" s="5" t="n"/>
      <c r="E51" s="5" t="n"/>
      <c r="F51" s="5" t="n"/>
      <c r="G51" s="5" t="n"/>
      <c r="H51" s="5" t="n"/>
      <c r="I51" s="5" t="n"/>
      <c r="J51" s="5" t="n"/>
      <c r="K51" s="5" t="n"/>
      <c r="L51" s="5" t="n"/>
      <c r="M51" s="5" t="n"/>
      <c r="N51" s="5" t="n"/>
      <c r="O51" s="8">
        <f>IF(COUNTA(C51:N51)=0,"","〇")</f>
        <v/>
      </c>
      <c r="P51" s="8">
        <f>IF(COUNTA(C51:N51)=0,"","〇")</f>
        <v/>
      </c>
      <c r="Q51" s="5" t="n"/>
    </row>
    <row r="52">
      <c r="A52" s="5" t="n"/>
      <c r="B52" s="5" t="n"/>
      <c r="C52" s="5" t="n"/>
      <c r="D52" s="5" t="n"/>
      <c r="E52" s="5" t="n"/>
      <c r="F52" s="5" t="n"/>
      <c r="G52" s="5" t="n"/>
      <c r="H52" s="5" t="n"/>
      <c r="I52" s="5" t="n"/>
      <c r="J52" s="5" t="n"/>
      <c r="K52" s="5" t="n"/>
      <c r="L52" s="5" t="n"/>
      <c r="M52" s="5" t="n"/>
      <c r="N52" s="5" t="n"/>
      <c r="O52" s="8">
        <f>IF(COUNTA(C52:N52)=0,"","〇")</f>
        <v/>
      </c>
      <c r="P52" s="8">
        <f>IF(COUNTA(C52:N52)=0,"","〇")</f>
        <v/>
      </c>
      <c r="Q52" s="5" t="n"/>
    </row>
    <row r="53">
      <c r="A53" s="5" t="n"/>
      <c r="B53" s="5" t="n"/>
      <c r="C53" s="5" t="n"/>
      <c r="D53" s="5" t="n"/>
      <c r="E53" s="5" t="n"/>
      <c r="F53" s="5" t="n"/>
      <c r="G53" s="5" t="n"/>
      <c r="H53" s="5" t="n"/>
      <c r="I53" s="5" t="n"/>
      <c r="J53" s="5" t="n"/>
      <c r="K53" s="5" t="n"/>
      <c r="L53" s="5" t="n"/>
      <c r="M53" s="5" t="n"/>
      <c r="N53" s="5" t="n"/>
      <c r="O53" s="8">
        <f>IF(COUNTA(C53:N53)=0,"","〇")</f>
        <v/>
      </c>
      <c r="P53" s="8">
        <f>IF(COUNTA(C53:N53)=0,"","〇")</f>
        <v/>
      </c>
      <c r="Q53" s="5" t="n"/>
    </row>
    <row r="54">
      <c r="A54" s="5" t="n"/>
      <c r="B54" s="5" t="n"/>
      <c r="C54" s="5" t="n"/>
      <c r="D54" s="5" t="n"/>
      <c r="E54" s="5" t="n"/>
      <c r="F54" s="5" t="n"/>
      <c r="G54" s="5" t="n"/>
      <c r="H54" s="5" t="n"/>
      <c r="I54" s="5" t="n"/>
      <c r="J54" s="5" t="n"/>
      <c r="K54" s="5" t="n"/>
      <c r="L54" s="5" t="n"/>
      <c r="M54" s="5" t="n"/>
      <c r="N54" s="5" t="n"/>
      <c r="O54" s="8">
        <f>IF(COUNTA(C54:N54)=0,"","〇")</f>
        <v/>
      </c>
      <c r="P54" s="8">
        <f>IF(COUNTA(C54:N54)=0,"","〇")</f>
        <v/>
      </c>
      <c r="Q54" s="5" t="n"/>
    </row>
    <row r="55">
      <c r="A55" s="5" t="n"/>
      <c r="B55" s="5" t="n"/>
      <c r="C55" s="5" t="n"/>
      <c r="D55" s="5" t="n"/>
      <c r="E55" s="5" t="n"/>
      <c r="F55" s="5" t="n"/>
      <c r="G55" s="5" t="n"/>
      <c r="H55" s="5" t="n"/>
      <c r="I55" s="5" t="n"/>
      <c r="J55" s="5" t="n"/>
      <c r="K55" s="5" t="n"/>
      <c r="L55" s="5" t="n"/>
      <c r="M55" s="5" t="n"/>
      <c r="N55" s="5" t="n"/>
      <c r="O55" s="8">
        <f>IF(COUNTA(C55:N55)=0,"","〇")</f>
        <v/>
      </c>
      <c r="P55" s="8">
        <f>IF(COUNTA(C55:N55)=0,"","〇")</f>
        <v/>
      </c>
      <c r="Q55" s="5" t="n"/>
    </row>
    <row r="56">
      <c r="A56" s="5" t="n"/>
      <c r="B56" s="5" t="n"/>
      <c r="C56" s="5" t="n"/>
      <c r="D56" s="5" t="n"/>
      <c r="E56" s="5" t="n"/>
      <c r="F56" s="5" t="n"/>
      <c r="G56" s="5" t="n"/>
      <c r="H56" s="5" t="n"/>
      <c r="I56" s="5" t="n"/>
      <c r="J56" s="5" t="n"/>
      <c r="K56" s="5" t="n"/>
      <c r="L56" s="5" t="n"/>
      <c r="M56" s="5" t="n"/>
      <c r="N56" s="5" t="n"/>
      <c r="O56" s="8">
        <f>IF(COUNTA(C56:N56)=0,"","〇")</f>
        <v/>
      </c>
      <c r="P56" s="8">
        <f>IF(COUNTA(C56:N56)=0,"","〇")</f>
        <v/>
      </c>
      <c r="Q56" s="5" t="n"/>
    </row>
    <row r="57">
      <c r="A57" s="5" t="n"/>
      <c r="B57" s="5" t="n"/>
      <c r="C57" s="5" t="n"/>
      <c r="D57" s="5" t="n"/>
      <c r="E57" s="5" t="n"/>
      <c r="F57" s="5" t="n"/>
      <c r="G57" s="5" t="n"/>
      <c r="H57" s="5" t="n"/>
      <c r="I57" s="5" t="n"/>
      <c r="J57" s="5" t="n"/>
      <c r="K57" s="5" t="n"/>
      <c r="L57" s="5" t="n"/>
      <c r="M57" s="5" t="n"/>
      <c r="N57" s="5" t="n"/>
      <c r="O57" s="8">
        <f>IF(COUNTA(C57:N57)=0,"","〇")</f>
        <v/>
      </c>
      <c r="P57" s="8">
        <f>IF(COUNTA(C57:N57)=0,"","〇")</f>
        <v/>
      </c>
      <c r="Q57" s="5" t="n"/>
    </row>
    <row r="58">
      <c r="A58" s="5" t="n"/>
      <c r="B58" s="5" t="n"/>
      <c r="C58" s="5" t="n"/>
      <c r="D58" s="5" t="n"/>
      <c r="E58" s="5" t="n"/>
      <c r="F58" s="5" t="n"/>
      <c r="G58" s="5" t="n"/>
      <c r="H58" s="5" t="n"/>
      <c r="I58" s="5" t="n"/>
      <c r="J58" s="5" t="n"/>
      <c r="K58" s="5" t="n"/>
      <c r="L58" s="5" t="n"/>
      <c r="M58" s="5" t="n"/>
      <c r="N58" s="5" t="n"/>
      <c r="O58" s="8">
        <f>IF(COUNTA(C58:N58)=0,"","〇")</f>
        <v/>
      </c>
      <c r="P58" s="8">
        <f>IF(COUNTA(C58:N58)=0,"","〇")</f>
        <v/>
      </c>
      <c r="Q58" s="5" t="n"/>
    </row>
    <row r="59">
      <c r="A59" s="5" t="n"/>
      <c r="B59" s="5" t="n"/>
      <c r="C59" s="5" t="n"/>
      <c r="D59" s="5" t="n"/>
      <c r="E59" s="5" t="n"/>
      <c r="F59" s="5" t="n"/>
      <c r="G59" s="5" t="n"/>
      <c r="H59" s="5" t="n"/>
      <c r="I59" s="5" t="n"/>
      <c r="J59" s="5" t="n"/>
      <c r="K59" s="5" t="n"/>
      <c r="L59" s="5" t="n"/>
      <c r="M59" s="5" t="n"/>
      <c r="N59" s="5" t="n"/>
      <c r="O59" s="8">
        <f>IF(COUNTA(C59:N59)=0,"","〇")</f>
        <v/>
      </c>
      <c r="P59" s="8">
        <f>IF(COUNTA(C59:N59)=0,"","〇")</f>
        <v/>
      </c>
      <c r="Q59" s="5" t="n"/>
    </row>
    <row r="60">
      <c r="A60" s="5" t="n"/>
      <c r="B60" s="5" t="n"/>
      <c r="C60" s="5" t="n"/>
      <c r="D60" s="5" t="n"/>
      <c r="E60" s="5" t="n"/>
      <c r="F60" s="5" t="n"/>
      <c r="G60" s="5" t="n"/>
      <c r="H60" s="5" t="n"/>
      <c r="I60" s="5" t="n"/>
      <c r="J60" s="5" t="n"/>
      <c r="K60" s="5" t="n"/>
      <c r="L60" s="5" t="n"/>
      <c r="M60" s="5" t="n"/>
      <c r="N60" s="5" t="n"/>
      <c r="O60" s="8">
        <f>IF(COUNTA(C60:N60)=0,"","〇")</f>
        <v/>
      </c>
      <c r="P60" s="8">
        <f>IF(COUNTA(C60:N60)=0,"","〇")</f>
        <v/>
      </c>
      <c r="Q60" s="5" t="n"/>
    </row>
    <row r="61">
      <c r="A61" s="5" t="n"/>
      <c r="B61" s="5" t="n"/>
      <c r="C61" s="5" t="n"/>
      <c r="D61" s="5" t="n"/>
      <c r="E61" s="5" t="n"/>
      <c r="F61" s="5" t="n"/>
      <c r="G61" s="5" t="n"/>
      <c r="H61" s="5" t="n"/>
      <c r="I61" s="5" t="n"/>
      <c r="J61" s="5" t="n"/>
      <c r="K61" s="5" t="n"/>
      <c r="L61" s="5" t="n"/>
      <c r="M61" s="5" t="n"/>
      <c r="N61" s="5" t="n"/>
      <c r="O61" s="8">
        <f>IF(COUNTA(C61:N61)=0,"","〇")</f>
        <v/>
      </c>
      <c r="P61" s="8">
        <f>IF(COUNTA(C61:N61)=0,"","〇")</f>
        <v/>
      </c>
      <c r="Q61" s="5" t="n"/>
    </row>
    <row r="62">
      <c r="A62" s="5" t="n"/>
      <c r="B62" s="5" t="n"/>
      <c r="C62" s="5" t="n"/>
      <c r="D62" s="5" t="n"/>
      <c r="E62" s="5" t="n"/>
      <c r="F62" s="5" t="n"/>
      <c r="G62" s="5" t="n"/>
      <c r="H62" s="5" t="n"/>
      <c r="I62" s="5" t="n"/>
      <c r="J62" s="5" t="n"/>
      <c r="K62" s="5" t="n"/>
      <c r="L62" s="5" t="n"/>
      <c r="M62" s="5" t="n"/>
      <c r="N62" s="5" t="n"/>
      <c r="O62" s="8">
        <f>IF(COUNTA(C62:N62)=0,"","〇")</f>
        <v/>
      </c>
      <c r="P62" s="8">
        <f>IF(COUNTA(C62:N62)=0,"","〇")</f>
        <v/>
      </c>
      <c r="Q62" s="5" t="n"/>
    </row>
    <row r="63">
      <c r="A63" s="5" t="n"/>
      <c r="B63" s="5" t="n"/>
      <c r="C63" s="5" t="n"/>
      <c r="D63" s="5" t="n"/>
      <c r="E63" s="5" t="n"/>
      <c r="F63" s="5" t="n"/>
      <c r="G63" s="5" t="n"/>
      <c r="H63" s="5" t="n"/>
      <c r="I63" s="5" t="n"/>
      <c r="J63" s="5" t="n"/>
      <c r="K63" s="5" t="n"/>
      <c r="L63" s="5" t="n"/>
      <c r="M63" s="5" t="n"/>
      <c r="N63" s="5" t="n"/>
      <c r="O63" s="8">
        <f>IF(COUNTA(C63:N63)=0,"","〇")</f>
        <v/>
      </c>
      <c r="P63" s="8">
        <f>IF(COUNTA(C63:N63)=0,"","〇")</f>
        <v/>
      </c>
      <c r="Q63" s="5" t="n"/>
    </row>
    <row r="64">
      <c r="A64" s="5" t="n"/>
      <c r="B64" s="5" t="n"/>
      <c r="C64" s="5" t="n"/>
      <c r="D64" s="5" t="n"/>
      <c r="E64" s="5" t="n"/>
      <c r="F64" s="5" t="n"/>
      <c r="G64" s="5" t="n"/>
      <c r="H64" s="5" t="n"/>
      <c r="I64" s="5" t="n"/>
      <c r="J64" s="5" t="n"/>
      <c r="K64" s="5" t="n"/>
      <c r="L64" s="5" t="n"/>
      <c r="M64" s="5" t="n"/>
      <c r="N64" s="5" t="n"/>
      <c r="O64" s="8">
        <f>IF(COUNTA(C64:N64)=0,"","〇")</f>
        <v/>
      </c>
      <c r="P64" s="8">
        <f>IF(COUNTA(C64:N64)=0,"","〇")</f>
        <v/>
      </c>
      <c r="Q64" s="5" t="n"/>
    </row>
    <row r="65">
      <c r="A65" s="5" t="n"/>
      <c r="B65" s="5" t="n"/>
      <c r="C65" s="5" t="n"/>
      <c r="D65" s="5" t="n"/>
      <c r="E65" s="5" t="n"/>
      <c r="F65" s="5" t="n"/>
      <c r="G65" s="5" t="n"/>
      <c r="H65" s="5" t="n"/>
      <c r="I65" s="5" t="n"/>
      <c r="J65" s="5" t="n"/>
      <c r="K65" s="5" t="n"/>
      <c r="L65" s="5" t="n"/>
      <c r="M65" s="5" t="n"/>
      <c r="N65" s="5" t="n"/>
      <c r="O65" s="8">
        <f>IF(COUNTA(C65:N65)=0,"","〇")</f>
        <v/>
      </c>
      <c r="P65" s="8">
        <f>IF(COUNTA(C65:N65)=0,"","〇")</f>
        <v/>
      </c>
      <c r="Q65" s="5" t="n"/>
    </row>
    <row r="66">
      <c r="A66" s="5" t="n"/>
      <c r="B66" s="5" t="n"/>
      <c r="C66" s="5" t="n"/>
      <c r="D66" s="5" t="n"/>
      <c r="E66" s="5" t="n"/>
      <c r="F66" s="5" t="n"/>
      <c r="G66" s="5" t="n"/>
      <c r="H66" s="5" t="n"/>
      <c r="I66" s="5" t="n"/>
      <c r="J66" s="5" t="n"/>
      <c r="K66" s="5" t="n"/>
      <c r="L66" s="5" t="n"/>
      <c r="M66" s="5" t="n"/>
      <c r="N66" s="5" t="n"/>
      <c r="O66" s="8">
        <f>IF(COUNTA(C66:N66)=0,"","〇")</f>
        <v/>
      </c>
      <c r="P66" s="8">
        <f>IF(COUNTA(C66:N66)=0,"","〇")</f>
        <v/>
      </c>
      <c r="Q66" s="5" t="n"/>
    </row>
    <row r="67">
      <c r="A67" s="5" t="n"/>
      <c r="B67" s="5" t="n"/>
      <c r="C67" s="5" t="n"/>
      <c r="D67" s="5" t="n"/>
      <c r="E67" s="5" t="n"/>
      <c r="F67" s="5" t="n"/>
      <c r="G67" s="5" t="n"/>
      <c r="H67" s="5" t="n"/>
      <c r="I67" s="5" t="n"/>
      <c r="J67" s="5" t="n"/>
      <c r="K67" s="5" t="n"/>
      <c r="L67" s="5" t="n"/>
      <c r="M67" s="5" t="n"/>
      <c r="N67" s="5" t="n"/>
      <c r="O67" s="8">
        <f>IF(COUNTA(C67:N67)=0,"","〇")</f>
        <v/>
      </c>
      <c r="P67" s="8">
        <f>IF(COUNTA(C67:N67)=0,"","〇")</f>
        <v/>
      </c>
      <c r="Q67" s="5" t="n"/>
    </row>
    <row r="68">
      <c r="A68" s="5" t="n"/>
      <c r="B68" s="5" t="n"/>
      <c r="C68" s="5" t="n"/>
      <c r="D68" s="5" t="n"/>
      <c r="E68" s="5" t="n"/>
      <c r="F68" s="5" t="n"/>
      <c r="G68" s="5" t="n"/>
      <c r="H68" s="5" t="n"/>
      <c r="I68" s="5" t="n"/>
      <c r="J68" s="5" t="n"/>
      <c r="K68" s="5" t="n"/>
      <c r="L68" s="5" t="n"/>
      <c r="M68" s="5" t="n"/>
      <c r="N68" s="5" t="n"/>
      <c r="O68" s="8">
        <f>IF(COUNTA(C68:N68)=0,"","〇")</f>
        <v/>
      </c>
      <c r="P68" s="8">
        <f>IF(COUNTA(C68:N68)=0,"","〇")</f>
        <v/>
      </c>
      <c r="Q68" s="5" t="n"/>
    </row>
    <row r="69">
      <c r="A69" s="5" t="n"/>
      <c r="B69" s="5" t="n"/>
      <c r="C69" s="5" t="n"/>
      <c r="D69" s="5" t="n"/>
      <c r="E69" s="5" t="n"/>
      <c r="F69" s="5" t="n"/>
      <c r="G69" s="5" t="n"/>
      <c r="H69" s="5" t="n"/>
      <c r="I69" s="5" t="n"/>
      <c r="J69" s="5" t="n"/>
      <c r="K69" s="5" t="n"/>
      <c r="L69" s="5" t="n"/>
      <c r="M69" s="5" t="n"/>
      <c r="N69" s="5" t="n"/>
      <c r="O69" s="8">
        <f>IF(COUNTA(C69:N69)=0,"","〇")</f>
        <v/>
      </c>
      <c r="P69" s="8">
        <f>IF(COUNTA(C69:N69)=0,"","〇")</f>
        <v/>
      </c>
      <c r="Q69" s="5" t="n"/>
    </row>
    <row r="70">
      <c r="A70" s="5" t="n"/>
      <c r="B70" s="5" t="n"/>
      <c r="C70" s="5" t="n"/>
      <c r="D70" s="5" t="n"/>
      <c r="E70" s="5" t="n"/>
      <c r="F70" s="5" t="n"/>
      <c r="G70" s="5" t="n"/>
      <c r="H70" s="5" t="n"/>
      <c r="I70" s="5" t="n"/>
      <c r="J70" s="5" t="n"/>
      <c r="K70" s="5" t="n"/>
      <c r="L70" s="5" t="n"/>
      <c r="M70" s="5" t="n"/>
      <c r="N70" s="5" t="n"/>
      <c r="O70" s="8">
        <f>IF(COUNTA(C70:N70)=0,"","〇")</f>
        <v/>
      </c>
      <c r="P70" s="8">
        <f>IF(COUNTA(C70:N70)=0,"","〇")</f>
        <v/>
      </c>
      <c r="Q70" s="5" t="n"/>
    </row>
    <row r="71">
      <c r="A71" s="5" t="n"/>
      <c r="B71" s="5" t="n"/>
      <c r="C71" s="5" t="n"/>
      <c r="D71" s="5" t="n"/>
      <c r="E71" s="5" t="n"/>
      <c r="F71" s="5" t="n"/>
      <c r="G71" s="5" t="n"/>
      <c r="H71" s="5" t="n"/>
      <c r="I71" s="5" t="n"/>
      <c r="J71" s="5" t="n"/>
      <c r="K71" s="5" t="n"/>
      <c r="L71" s="5" t="n"/>
      <c r="M71" s="5" t="n"/>
      <c r="N71" s="5" t="n"/>
      <c r="O71" s="8">
        <f>IF(COUNTA(C71:N71)=0,"","〇")</f>
        <v/>
      </c>
      <c r="P71" s="8">
        <f>IF(COUNTA(C71:N71)=0,"","〇")</f>
        <v/>
      </c>
      <c r="Q71" s="5" t="n"/>
    </row>
    <row r="72">
      <c r="A72" s="5" t="n"/>
      <c r="B72" s="5" t="n"/>
      <c r="C72" s="5" t="n"/>
      <c r="D72" s="5" t="n"/>
      <c r="E72" s="5" t="n"/>
      <c r="F72" s="5" t="n"/>
      <c r="G72" s="5" t="n"/>
      <c r="H72" s="5" t="n"/>
      <c r="I72" s="5" t="n"/>
      <c r="J72" s="5" t="n"/>
      <c r="K72" s="5" t="n"/>
      <c r="L72" s="5" t="n"/>
      <c r="M72" s="5" t="n"/>
      <c r="N72" s="5" t="n"/>
      <c r="O72" s="8">
        <f>IF(COUNTA(C72:N72)=0,"","〇")</f>
        <v/>
      </c>
      <c r="P72" s="8">
        <f>IF(COUNTA(C72:N72)=0,"","〇")</f>
        <v/>
      </c>
      <c r="Q72" s="5" t="n"/>
    </row>
    <row r="73">
      <c r="A73" s="5" t="n"/>
      <c r="B73" s="5" t="n"/>
      <c r="C73" s="5" t="n"/>
      <c r="D73" s="5" t="n"/>
      <c r="E73" s="5" t="n"/>
      <c r="F73" s="5" t="n"/>
      <c r="G73" s="5" t="n"/>
      <c r="H73" s="5" t="n"/>
      <c r="I73" s="5" t="n"/>
      <c r="J73" s="5" t="n"/>
      <c r="K73" s="5" t="n"/>
      <c r="L73" s="5" t="n"/>
      <c r="M73" s="5" t="n"/>
      <c r="N73" s="5" t="n"/>
      <c r="O73" s="8">
        <f>IF(COUNTA(C73:N73)=0,"","〇")</f>
        <v/>
      </c>
      <c r="P73" s="8">
        <f>IF(COUNTA(C73:N73)=0,"","〇")</f>
        <v/>
      </c>
      <c r="Q73" s="5" t="n"/>
    </row>
    <row r="74">
      <c r="A74" s="5" t="n"/>
      <c r="B74" s="5" t="n"/>
      <c r="C74" s="5" t="n"/>
      <c r="D74" s="5" t="n"/>
      <c r="E74" s="5" t="n"/>
      <c r="F74" s="5" t="n"/>
      <c r="G74" s="5" t="n"/>
      <c r="H74" s="5" t="n"/>
      <c r="I74" s="5" t="n"/>
      <c r="J74" s="5" t="n"/>
      <c r="K74" s="5" t="n"/>
      <c r="L74" s="5" t="n"/>
      <c r="M74" s="5" t="n"/>
      <c r="N74" s="5" t="n"/>
      <c r="O74" s="8">
        <f>IF(COUNTA(C74:N74)=0,"","〇")</f>
        <v/>
      </c>
      <c r="P74" s="8">
        <f>IF(COUNTA(C74:N74)=0,"","〇")</f>
        <v/>
      </c>
      <c r="Q74" s="5" t="n"/>
    </row>
    <row r="75">
      <c r="A75" s="5" t="n"/>
      <c r="B75" s="5" t="n"/>
      <c r="C75" s="5" t="n"/>
      <c r="D75" s="5" t="n"/>
      <c r="E75" s="5" t="n"/>
      <c r="F75" s="5" t="n"/>
      <c r="G75" s="5" t="n"/>
      <c r="H75" s="5" t="n"/>
      <c r="I75" s="5" t="n"/>
      <c r="J75" s="5" t="n"/>
      <c r="K75" s="5" t="n"/>
      <c r="L75" s="5" t="n"/>
      <c r="M75" s="5" t="n"/>
      <c r="N75" s="5" t="n"/>
      <c r="O75" s="8">
        <f>IF(COUNTA(C75:N75)=0,"","〇")</f>
        <v/>
      </c>
      <c r="P75" s="8">
        <f>IF(COUNTA(C75:N75)=0,"","〇")</f>
        <v/>
      </c>
      <c r="Q75" s="5" t="n"/>
    </row>
    <row r="76">
      <c r="A76" s="5" t="n"/>
      <c r="B76" s="5" t="n"/>
      <c r="C76" s="5" t="n"/>
      <c r="D76" s="5" t="n"/>
      <c r="E76" s="5" t="n"/>
      <c r="F76" s="5" t="n"/>
      <c r="G76" s="5" t="n"/>
      <c r="H76" s="5" t="n"/>
      <c r="I76" s="5" t="n"/>
      <c r="J76" s="5" t="n"/>
      <c r="K76" s="5" t="n"/>
      <c r="L76" s="5" t="n"/>
      <c r="M76" s="5" t="n"/>
      <c r="N76" s="5" t="n"/>
      <c r="O76" s="8">
        <f>IF(COUNTA(C76:N76)=0,"","〇")</f>
        <v/>
      </c>
      <c r="P76" s="8">
        <f>IF(COUNTA(C76:N76)=0,"","〇")</f>
        <v/>
      </c>
      <c r="Q76" s="5" t="n"/>
    </row>
    <row r="77">
      <c r="A77" s="5" t="n"/>
      <c r="B77" s="5" t="n"/>
      <c r="C77" s="5" t="n"/>
      <c r="D77" s="5" t="n"/>
      <c r="E77" s="5" t="n"/>
      <c r="F77" s="5" t="n"/>
      <c r="G77" s="5" t="n"/>
      <c r="H77" s="5" t="n"/>
      <c r="I77" s="5" t="n"/>
      <c r="J77" s="5" t="n"/>
      <c r="K77" s="5" t="n"/>
      <c r="L77" s="5" t="n"/>
      <c r="M77" s="5" t="n"/>
      <c r="N77" s="5" t="n"/>
      <c r="O77" s="8">
        <f>IF(COUNTA(C77:N77)=0,"","〇")</f>
        <v/>
      </c>
      <c r="P77" s="8">
        <f>IF(COUNTA(C77:N77)=0,"","〇")</f>
        <v/>
      </c>
      <c r="Q77" s="5" t="n"/>
    </row>
    <row r="78">
      <c r="A78" s="5" t="n"/>
      <c r="B78" s="5" t="n"/>
      <c r="C78" s="5" t="n"/>
      <c r="D78" s="5" t="n"/>
      <c r="E78" s="5" t="n"/>
      <c r="F78" s="5" t="n"/>
      <c r="G78" s="5" t="n"/>
      <c r="H78" s="5" t="n"/>
      <c r="I78" s="5" t="n"/>
      <c r="J78" s="5" t="n"/>
      <c r="K78" s="5" t="n"/>
      <c r="L78" s="5" t="n"/>
      <c r="M78" s="5" t="n"/>
      <c r="N78" s="5" t="n"/>
      <c r="O78" s="8">
        <f>IF(COUNTA(C78:N78)=0,"","〇")</f>
        <v/>
      </c>
      <c r="P78" s="8">
        <f>IF(COUNTA(C78:N78)=0,"","〇")</f>
        <v/>
      </c>
      <c r="Q78" s="5" t="n"/>
    </row>
    <row r="79">
      <c r="A79" s="5" t="n"/>
      <c r="B79" s="5" t="n"/>
      <c r="C79" s="5" t="n"/>
      <c r="D79" s="5" t="n"/>
      <c r="E79" s="5" t="n"/>
      <c r="F79" s="5" t="n"/>
      <c r="G79" s="5" t="n"/>
      <c r="H79" s="5" t="n"/>
      <c r="I79" s="5" t="n"/>
      <c r="J79" s="5" t="n"/>
      <c r="K79" s="5" t="n"/>
      <c r="L79" s="5" t="n"/>
      <c r="M79" s="5" t="n"/>
      <c r="N79" s="5" t="n"/>
      <c r="O79" s="8">
        <f>IF(COUNTA(C79:N79)=0,"","〇")</f>
        <v/>
      </c>
      <c r="P79" s="8">
        <f>IF(COUNTA(C79:N79)=0,"","〇")</f>
        <v/>
      </c>
      <c r="Q79" s="5" t="n"/>
    </row>
    <row r="80">
      <c r="A80" s="5" t="n"/>
      <c r="B80" s="5" t="n"/>
      <c r="C80" s="5" t="n"/>
      <c r="D80" s="5" t="n"/>
      <c r="E80" s="5" t="n"/>
      <c r="F80" s="5" t="n"/>
      <c r="G80" s="5" t="n"/>
      <c r="H80" s="5" t="n"/>
      <c r="I80" s="5" t="n"/>
      <c r="J80" s="5" t="n"/>
      <c r="K80" s="5" t="n"/>
      <c r="L80" s="5" t="n"/>
      <c r="M80" s="5" t="n"/>
      <c r="N80" s="5" t="n"/>
      <c r="O80" s="8">
        <f>IF(COUNTA(C80:N80)=0,"","〇")</f>
        <v/>
      </c>
      <c r="P80" s="8">
        <f>IF(COUNTA(C80:N80)=0,"","〇")</f>
        <v/>
      </c>
      <c r="Q80" s="5" t="n"/>
    </row>
    <row r="81">
      <c r="A81" s="5" t="n"/>
      <c r="B81" s="5" t="n"/>
      <c r="C81" s="5" t="n"/>
      <c r="D81" s="5" t="n"/>
      <c r="E81" s="5" t="n"/>
      <c r="F81" s="5" t="n"/>
      <c r="G81" s="5" t="n"/>
      <c r="H81" s="5" t="n"/>
      <c r="I81" s="5" t="n"/>
      <c r="J81" s="5" t="n"/>
      <c r="K81" s="5" t="n"/>
      <c r="L81" s="5" t="n"/>
      <c r="M81" s="5" t="n"/>
      <c r="N81" s="5" t="n"/>
      <c r="O81" s="8">
        <f>IF(COUNTA(C81:N81)=0,"","〇")</f>
        <v/>
      </c>
      <c r="P81" s="8">
        <f>IF(COUNTA(C81:N81)=0,"","〇")</f>
        <v/>
      </c>
      <c r="Q81" s="5" t="n"/>
    </row>
    <row r="82">
      <c r="A82" s="5" t="n"/>
      <c r="B82" s="5" t="n"/>
      <c r="C82" s="5" t="n"/>
      <c r="D82" s="5" t="n"/>
      <c r="E82" s="5" t="n"/>
      <c r="F82" s="5" t="n"/>
      <c r="G82" s="5" t="n"/>
      <c r="H82" s="5" t="n"/>
      <c r="I82" s="5" t="n"/>
      <c r="J82" s="5" t="n"/>
      <c r="K82" s="5" t="n"/>
      <c r="L82" s="5" t="n"/>
      <c r="M82" s="5" t="n"/>
      <c r="N82" s="5" t="n"/>
      <c r="O82" s="8">
        <f>IF(COUNTA(C82:N82)=0,"","〇")</f>
        <v/>
      </c>
      <c r="P82" s="8">
        <f>IF(COUNTA(C82:N82)=0,"","〇")</f>
        <v/>
      </c>
      <c r="Q82" s="5" t="n"/>
    </row>
    <row r="83">
      <c r="A83" s="5" t="n"/>
      <c r="B83" s="5" t="n"/>
      <c r="C83" s="5" t="n"/>
      <c r="D83" s="5" t="n"/>
      <c r="E83" s="5" t="n"/>
      <c r="F83" s="5" t="n"/>
      <c r="G83" s="5" t="n"/>
      <c r="H83" s="5" t="n"/>
      <c r="I83" s="5" t="n"/>
      <c r="J83" s="5" t="n"/>
      <c r="K83" s="5" t="n"/>
      <c r="L83" s="5" t="n"/>
      <c r="M83" s="5" t="n"/>
      <c r="N83" s="5" t="n"/>
      <c r="O83" s="8">
        <f>IF(COUNTA(C83:N83)=0,"","〇")</f>
        <v/>
      </c>
      <c r="P83" s="8">
        <f>IF(COUNTA(C83:N83)=0,"","〇")</f>
        <v/>
      </c>
      <c r="Q83" s="5" t="n"/>
    </row>
    <row r="84">
      <c r="A84" s="4" t="inlineStr">
        <is>
          <t>合計</t>
        </is>
      </c>
      <c r="B84" s="9" t="n"/>
      <c r="C84" s="10">
        <f>SUM(C4:C83)</f>
        <v/>
      </c>
      <c r="D84" s="10">
        <f>SUM(D4:D83)</f>
        <v/>
      </c>
      <c r="E84" s="10">
        <f>SUM(E4:E83)</f>
        <v/>
      </c>
      <c r="F84" s="10">
        <f>SUM(F4:F83)</f>
        <v/>
      </c>
      <c r="G84" s="10">
        <f>SUM(G4:G83)</f>
        <v/>
      </c>
      <c r="H84" s="10">
        <f>SUM(H4:H83)</f>
        <v/>
      </c>
      <c r="I84" s="10">
        <f>SUM(I4:I83)</f>
        <v/>
      </c>
      <c r="J84" s="10">
        <f>SUM(J4:J83)</f>
        <v/>
      </c>
      <c r="K84" s="10">
        <f>SUM(K4:K83)</f>
        <v/>
      </c>
      <c r="L84" s="10">
        <f>SUM(L4:L83)</f>
        <v/>
      </c>
      <c r="M84" s="10">
        <f>SUM(M4:M83)</f>
        <v/>
      </c>
      <c r="N84" s="10">
        <f>SUM(N4:N83)</f>
        <v/>
      </c>
    </row>
  </sheetData>
  <mergeCells count="2">
    <mergeCell ref="A84:B84"/>
    <mergeCell ref="A1:Q1"/>
  </mergeCells>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M2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7" t="inlineStr">
        <is>
          <t>共用部 感知器概要表（プルダウン入力）</t>
        </is>
      </c>
    </row>
    <row r="3">
      <c r="A3" s="4" t="inlineStr">
        <is>
          <t>機種名</t>
        </is>
      </c>
      <c r="B3" s="4" t="inlineStr">
        <is>
          <t>型（スポット型等）</t>
        </is>
      </c>
      <c r="C3" s="4" t="inlineStr">
        <is>
          <t>蓄積</t>
        </is>
      </c>
      <c r="D3" s="4" t="inlineStr">
        <is>
          <t>自動</t>
        </is>
      </c>
      <c r="E3" s="4" t="inlineStr">
        <is>
          <t>遠隔</t>
        </is>
      </c>
      <c r="F3" s="4" t="inlineStr">
        <is>
          <t>種別</t>
        </is>
      </c>
      <c r="G3" s="4" t="inlineStr">
        <is>
          <t>個数</t>
        </is>
      </c>
      <c r="H3" s="4" t="inlineStr">
        <is>
          <t>型式番号From</t>
        </is>
      </c>
      <c r="I3" s="4" t="inlineStr">
        <is>
          <t>型式番号To</t>
        </is>
      </c>
      <c r="J3" s="4" t="inlineStr">
        <is>
          <t>製造会社名</t>
        </is>
      </c>
    </row>
    <row r="4">
      <c r="A4" s="5" t="n"/>
      <c r="B4" s="5" t="n"/>
      <c r="C4" s="5" t="n"/>
      <c r="D4" s="5" t="n"/>
      <c r="E4" s="5" t="n"/>
      <c r="F4" s="5" t="n"/>
      <c r="G4" s="5" t="n"/>
      <c r="H4" s="5" t="n"/>
      <c r="I4" s="5" t="n"/>
      <c r="J4" s="5" t="n"/>
    </row>
    <row r="5">
      <c r="A5" s="5" t="n"/>
      <c r="B5" s="5" t="n"/>
      <c r="C5" s="5" t="n"/>
      <c r="D5" s="5" t="n"/>
      <c r="E5" s="5" t="n"/>
      <c r="F5" s="5" t="n"/>
      <c r="G5" s="5" t="n"/>
      <c r="H5" s="5" t="n"/>
      <c r="I5" s="5" t="n"/>
      <c r="J5" s="5" t="n"/>
    </row>
    <row r="6">
      <c r="A6" s="5" t="n"/>
      <c r="B6" s="5" t="n"/>
      <c r="C6" s="5" t="n"/>
      <c r="D6" s="5" t="n"/>
      <c r="E6" s="5" t="n"/>
      <c r="F6" s="5" t="n"/>
      <c r="G6" s="5" t="n"/>
      <c r="H6" s="5" t="n"/>
      <c r="I6" s="5" t="n"/>
      <c r="J6" s="5" t="n"/>
    </row>
    <row r="7">
      <c r="A7" s="5" t="n"/>
      <c r="B7" s="5" t="n"/>
      <c r="C7" s="5" t="n"/>
      <c r="D7" s="5" t="n"/>
      <c r="E7" s="5" t="n"/>
      <c r="F7" s="5" t="n"/>
      <c r="G7" s="5" t="n"/>
      <c r="H7" s="5" t="n"/>
      <c r="I7" s="5" t="n"/>
      <c r="J7" s="5" t="n"/>
    </row>
    <row r="8">
      <c r="A8" s="5" t="n"/>
      <c r="B8" s="5" t="n"/>
      <c r="C8" s="5" t="n"/>
      <c r="D8" s="5" t="n"/>
      <c r="E8" s="5" t="n"/>
      <c r="F8" s="5" t="n"/>
      <c r="G8" s="5" t="n"/>
      <c r="H8" s="5" t="n"/>
      <c r="I8" s="5" t="n"/>
      <c r="J8" s="5" t="n"/>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6">
      <c r="A16" s="7" t="inlineStr">
        <is>
          <t>住戸部 感知器概要表（プルダウン入力）</t>
        </is>
      </c>
    </row>
    <row r="18">
      <c r="A18" s="4" t="inlineStr">
        <is>
          <t>機種名</t>
        </is>
      </c>
      <c r="B18" s="4" t="inlineStr">
        <is>
          <t>型（スポット型等）</t>
        </is>
      </c>
      <c r="C18" s="4" t="inlineStr">
        <is>
          <t>蓄積</t>
        </is>
      </c>
      <c r="D18" s="4" t="inlineStr">
        <is>
          <t>自動</t>
        </is>
      </c>
      <c r="E18" s="4" t="inlineStr">
        <is>
          <t>遠隔</t>
        </is>
      </c>
      <c r="F18" s="4" t="inlineStr">
        <is>
          <t>種別</t>
        </is>
      </c>
      <c r="G18" s="4" t="inlineStr">
        <is>
          <t>個数</t>
        </is>
      </c>
      <c r="H18" s="4" t="inlineStr">
        <is>
          <t>型式番号From</t>
        </is>
      </c>
      <c r="I18" s="4" t="inlineStr">
        <is>
          <t>型式番号To</t>
        </is>
      </c>
      <c r="J18" s="4" t="inlineStr">
        <is>
          <t>製造会社名</t>
        </is>
      </c>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sheetData>
  <mergeCells count="2">
    <mergeCell ref="A16:M16"/>
    <mergeCell ref="A1:M1"/>
  </mergeCells>
  <dataValidations count="13">
    <dataValidation sqref="A4 A5 A6 A7 A8 A9 A10 A11 A12 A13 A19 A20 A21 A22 A23 A24 A25 A26 A27 A28" showDropDown="0" showInputMessage="0" showErrorMessage="0" allowBlank="1" type="list">
      <formula1>"差動式,定温式,光電式,補償式,熱アナログ式,光電アナログ式,イオン化式"</formula1>
    </dataValidation>
    <dataValidation sqref="C4 C5 C6 C7 C8 C9 C10 C11 C12 C13 C19 C20 C21 C22 C23 C24 C25 C26 C27 C28 D4 D5 D6 D7 D8 D9 D10 D11 D12 D13 D19 D20 D21 D22 D23 D24 D25 D26 D27 D28 E4 E5 E6 E7 E8 E9 E10 E11 E12 E13 E19 E20 E21 E22 E23 E24 E25 E26 E27 E28" showDropDown="0" showInputMessage="0" showErrorMessage="0" allowBlank="1" type="list">
      <formula1>"〇,"</formula1>
    </dataValidation>
    <dataValidation sqref="F4 F5 F6 F7 F8 F9 F10 F11 F12 F13 F19 F20 F21 F22 F23 F24 F25 F26 F27 F28" showDropDown="0" showInputMessage="0" showErrorMessage="0" allowBlank="1" type="list">
      <formula1>"特種,1種,2種,3種"</formula1>
    </dataValidation>
    <dataValidation sqref="J4" showDropDown="0" showInputMessage="0" showErrorMessage="0" allowBlank="1" type="list">
      <formula1>"パナソニック㈱,ニッタン(株),能美防災㈱,ホーチキ㈱"</formula1>
    </dataValidation>
    <dataValidation sqref="J5" showDropDown="0" showInputMessage="0" showErrorMessage="0" allowBlank="1" type="list">
      <formula1>"パナソニック㈱,ニッタン(株),能美防災㈱,ホーチキ㈱"</formula1>
    </dataValidation>
    <dataValidation sqref="J6" showDropDown="0" showInputMessage="0" showErrorMessage="0" allowBlank="1" type="list">
      <formula1>"パナソニック㈱,ニッタン(株),能美防災㈱,ホーチキ㈱"</formula1>
    </dataValidation>
    <dataValidation sqref="J7" showDropDown="0" showInputMessage="0" showErrorMessage="0" allowBlank="1" type="list">
      <formula1>"パナソニック㈱,ニッタン(株),能美防災㈱,ホーチキ㈱"</formula1>
    </dataValidation>
    <dataValidation sqref="J8" showDropDown="0" showInputMessage="0" showErrorMessage="0" allowBlank="1" type="list">
      <formula1>"パナソニック㈱,ニッタン(株),能美防災㈱,ホーチキ㈱"</formula1>
    </dataValidation>
    <dataValidation sqref="J9" showDropDown="0" showInputMessage="0" showErrorMessage="0" allowBlank="1" type="list">
      <formula1>"パナソニック㈱,ニッタン(株),能美防災㈱,ホーチキ㈱"</formula1>
    </dataValidation>
    <dataValidation sqref="J10" showDropDown="0" showInputMessage="0" showErrorMessage="0" allowBlank="1" type="list">
      <formula1>"パナソニック㈱,ニッタン(株),能美防災㈱,ホーチキ㈱"</formula1>
    </dataValidation>
    <dataValidation sqref="J11" showDropDown="0" showInputMessage="0" showErrorMessage="0" allowBlank="1" type="list">
      <formula1>"パナソニック㈱,ニッタン(株),能美防災㈱,ホーチキ㈱"</formula1>
    </dataValidation>
    <dataValidation sqref="J12" showDropDown="0" showInputMessage="0" showErrorMessage="0" allowBlank="1" type="list">
      <formula1>"パナソニック㈱,ニッタン(株),能美防災㈱,ホーチキ㈱"</formula1>
    </dataValidation>
    <dataValidation sqref="J13" showDropDown="0" showInputMessage="0" showErrorMessage="0" allowBlank="1" type="list">
      <formula1>"パナソニック㈱,ニッタン(株),能美防災㈱,ホーチキ㈱"</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N2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7" t="inlineStr">
        <is>
          <t>自動火災報知設備 警戒区域別 感知器・音響装置（その2）</t>
        </is>
      </c>
    </row>
    <row r="3">
      <c r="A3" s="4" t="inlineStr">
        <is>
          <t>表示番号</t>
        </is>
      </c>
      <c r="B3" s="4" t="inlineStr">
        <is>
          <t>名称</t>
        </is>
      </c>
      <c r="C3" s="4" t="inlineStr">
        <is>
          <t>差動式分布型</t>
        </is>
      </c>
      <c r="D3" s="4" t="inlineStr">
        <is>
          <t>差動式スポット型</t>
        </is>
      </c>
      <c r="E3" s="4" t="inlineStr">
        <is>
          <t>補償式スポット型</t>
        </is>
      </c>
      <c r="F3" s="4" t="inlineStr">
        <is>
          <t>定温式スポット型</t>
        </is>
      </c>
      <c r="G3" s="4" t="inlineStr">
        <is>
          <t>定温式感知線型</t>
        </is>
      </c>
      <c r="H3" s="4" t="inlineStr">
        <is>
          <t>イオン化式スポット型</t>
        </is>
      </c>
      <c r="I3" s="4" t="inlineStr">
        <is>
          <t>光電式スポット型</t>
        </is>
      </c>
      <c r="J3" s="4" t="inlineStr">
        <is>
          <t>光電式分離型</t>
        </is>
      </c>
      <c r="K3" s="4" t="inlineStr">
        <is>
          <t>炎感知器</t>
        </is>
      </c>
      <c r="L3" s="4" t="inlineStr">
        <is>
          <t>地区音響装置</t>
        </is>
      </c>
      <c r="M3" s="4" t="inlineStr">
        <is>
          <t>結果</t>
        </is>
      </c>
    </row>
    <row r="4">
      <c r="A4" s="5" t="n"/>
      <c r="B4" s="5" t="n"/>
      <c r="C4" s="5" t="n"/>
      <c r="D4" s="5" t="n"/>
      <c r="E4" s="5" t="n"/>
      <c r="F4" s="5" t="n"/>
      <c r="G4" s="5" t="n"/>
      <c r="H4" s="5" t="n"/>
      <c r="I4" s="5" t="n"/>
      <c r="J4" s="5" t="n"/>
      <c r="K4" s="5" t="n"/>
      <c r="L4" s="5" t="n"/>
      <c r="M4" s="5" t="n"/>
    </row>
    <row r="5">
      <c r="A5" s="5" t="n"/>
      <c r="B5" s="5" t="n"/>
      <c r="C5" s="5" t="n"/>
      <c r="D5" s="5" t="n"/>
      <c r="E5" s="5" t="n"/>
      <c r="F5" s="5" t="n"/>
      <c r="G5" s="5" t="n"/>
      <c r="H5" s="5" t="n"/>
      <c r="I5" s="5" t="n"/>
      <c r="J5" s="5" t="n"/>
      <c r="K5" s="5" t="n"/>
      <c r="L5" s="5" t="n"/>
      <c r="M5" s="5" t="n"/>
    </row>
    <row r="6">
      <c r="A6" s="5" t="n"/>
      <c r="B6" s="5" t="n"/>
      <c r="C6" s="5" t="n"/>
      <c r="D6" s="5" t="n"/>
      <c r="E6" s="5" t="n"/>
      <c r="F6" s="5" t="n"/>
      <c r="G6" s="5" t="n"/>
      <c r="H6" s="5" t="n"/>
      <c r="I6" s="5" t="n"/>
      <c r="J6" s="5" t="n"/>
      <c r="K6" s="5" t="n"/>
      <c r="L6" s="5" t="n"/>
      <c r="M6" s="5" t="n"/>
    </row>
    <row r="7">
      <c r="A7" s="5" t="n"/>
      <c r="B7" s="5" t="n"/>
      <c r="C7" s="5" t="n"/>
      <c r="D7" s="5" t="n"/>
      <c r="E7" s="5" t="n"/>
      <c r="F7" s="5" t="n"/>
      <c r="G7" s="5" t="n"/>
      <c r="H7" s="5" t="n"/>
      <c r="I7" s="5" t="n"/>
      <c r="J7" s="5" t="n"/>
      <c r="K7" s="5" t="n"/>
      <c r="L7" s="5" t="n"/>
      <c r="M7" s="5" t="n"/>
    </row>
    <row r="8">
      <c r="A8" s="5" t="n"/>
      <c r="B8" s="5" t="n"/>
      <c r="C8" s="5" t="n"/>
      <c r="D8" s="5" t="n"/>
      <c r="E8" s="5" t="n"/>
      <c r="F8" s="5" t="n"/>
      <c r="G8" s="5" t="n"/>
      <c r="H8" s="5" t="n"/>
      <c r="I8" s="5" t="n"/>
      <c r="J8" s="5" t="n"/>
      <c r="K8" s="5" t="n"/>
      <c r="L8" s="5" t="n"/>
      <c r="M8" s="5" t="n"/>
    </row>
    <row r="9">
      <c r="A9" s="5" t="n"/>
      <c r="B9" s="5" t="n"/>
      <c r="C9" s="5" t="n"/>
      <c r="D9" s="5" t="n"/>
      <c r="E9" s="5" t="n"/>
      <c r="F9" s="5" t="n"/>
      <c r="G9" s="5" t="n"/>
      <c r="H9" s="5" t="n"/>
      <c r="I9" s="5" t="n"/>
      <c r="J9" s="5" t="n"/>
      <c r="K9" s="5" t="n"/>
      <c r="L9" s="5" t="n"/>
      <c r="M9" s="5" t="n"/>
    </row>
    <row r="10">
      <c r="A10" s="5" t="n"/>
      <c r="B10" s="5" t="n"/>
      <c r="C10" s="5" t="n"/>
      <c r="D10" s="5" t="n"/>
      <c r="E10" s="5" t="n"/>
      <c r="F10" s="5" t="n"/>
      <c r="G10" s="5" t="n"/>
      <c r="H10" s="5" t="n"/>
      <c r="I10" s="5" t="n"/>
      <c r="J10" s="5" t="n"/>
      <c r="K10" s="5" t="n"/>
      <c r="L10" s="5" t="n"/>
      <c r="M10" s="5" t="n"/>
    </row>
    <row r="11">
      <c r="A11" s="5" t="n"/>
      <c r="B11" s="5" t="n"/>
      <c r="C11" s="5" t="n"/>
      <c r="D11" s="5" t="n"/>
      <c r="E11" s="5" t="n"/>
      <c r="F11" s="5" t="n"/>
      <c r="G11" s="5" t="n"/>
      <c r="H11" s="5" t="n"/>
      <c r="I11" s="5" t="n"/>
      <c r="J11" s="5" t="n"/>
      <c r="K11" s="5" t="n"/>
      <c r="L11" s="5" t="n"/>
      <c r="M11" s="5" t="n"/>
    </row>
    <row r="12">
      <c r="A12" s="5" t="n"/>
      <c r="B12" s="5" t="n"/>
      <c r="C12" s="5" t="n"/>
      <c r="D12" s="5" t="n"/>
      <c r="E12" s="5" t="n"/>
      <c r="F12" s="5" t="n"/>
      <c r="G12" s="5" t="n"/>
      <c r="H12" s="5" t="n"/>
      <c r="I12" s="5" t="n"/>
      <c r="J12" s="5" t="n"/>
      <c r="K12" s="5" t="n"/>
      <c r="L12" s="5" t="n"/>
      <c r="M12" s="5" t="n"/>
    </row>
    <row r="13">
      <c r="A13" s="5" t="n"/>
      <c r="B13" s="5" t="n"/>
      <c r="C13" s="5" t="n"/>
      <c r="D13" s="5" t="n"/>
      <c r="E13" s="5" t="n"/>
      <c r="F13" s="5" t="n"/>
      <c r="G13" s="5" t="n"/>
      <c r="H13" s="5" t="n"/>
      <c r="I13" s="5" t="n"/>
      <c r="J13" s="5" t="n"/>
      <c r="K13" s="5" t="n"/>
      <c r="L13" s="5" t="n"/>
      <c r="M13" s="5" t="n"/>
    </row>
    <row r="14">
      <c r="A14" s="5" t="n"/>
      <c r="B14" s="5" t="n"/>
      <c r="C14" s="5" t="n"/>
      <c r="D14" s="5" t="n"/>
      <c r="E14" s="5" t="n"/>
      <c r="F14" s="5" t="n"/>
      <c r="G14" s="5" t="n"/>
      <c r="H14" s="5" t="n"/>
      <c r="I14" s="5" t="n"/>
      <c r="J14" s="5" t="n"/>
      <c r="K14" s="5" t="n"/>
      <c r="L14" s="5" t="n"/>
      <c r="M14" s="5" t="n"/>
    </row>
    <row r="15">
      <c r="A15" s="5" t="n"/>
      <c r="B15" s="5" t="n"/>
      <c r="C15" s="5" t="n"/>
      <c r="D15" s="5" t="n"/>
      <c r="E15" s="5" t="n"/>
      <c r="F15" s="5" t="n"/>
      <c r="G15" s="5" t="n"/>
      <c r="H15" s="5" t="n"/>
      <c r="I15" s="5" t="n"/>
      <c r="J15" s="5" t="n"/>
      <c r="K15" s="5" t="n"/>
      <c r="L15" s="5" t="n"/>
      <c r="M15" s="5" t="n"/>
    </row>
    <row r="16">
      <c r="A16" s="5" t="n"/>
      <c r="B16" s="5" t="n"/>
      <c r="C16" s="5" t="n"/>
      <c r="D16" s="5" t="n"/>
      <c r="E16" s="5" t="n"/>
      <c r="F16" s="5" t="n"/>
      <c r="G16" s="5" t="n"/>
      <c r="H16" s="5" t="n"/>
      <c r="I16" s="5" t="n"/>
      <c r="J16" s="5" t="n"/>
      <c r="K16" s="5" t="n"/>
      <c r="L16" s="5" t="n"/>
      <c r="M16" s="5" t="n"/>
    </row>
    <row r="17">
      <c r="A17" s="5" t="n"/>
      <c r="B17" s="5" t="n"/>
      <c r="C17" s="5" t="n"/>
      <c r="D17" s="5" t="n"/>
      <c r="E17" s="5" t="n"/>
      <c r="F17" s="5" t="n"/>
      <c r="G17" s="5" t="n"/>
      <c r="H17" s="5" t="n"/>
      <c r="I17" s="5" t="n"/>
      <c r="J17" s="5" t="n"/>
      <c r="K17" s="5" t="n"/>
      <c r="L17" s="5" t="n"/>
      <c r="M17" s="5" t="n"/>
    </row>
    <row r="18">
      <c r="A18" s="5" t="n"/>
      <c r="B18" s="5" t="n"/>
      <c r="C18" s="5" t="n"/>
      <c r="D18" s="5" t="n"/>
      <c r="E18" s="5" t="n"/>
      <c r="F18" s="5" t="n"/>
      <c r="G18" s="5" t="n"/>
      <c r="H18" s="5" t="n"/>
      <c r="I18" s="5" t="n"/>
      <c r="J18" s="5" t="n"/>
      <c r="K18" s="5" t="n"/>
      <c r="L18" s="5" t="n"/>
      <c r="M18" s="5" t="n"/>
    </row>
    <row r="19">
      <c r="A19" s="5" t="n"/>
      <c r="B19" s="5" t="n"/>
      <c r="C19" s="5" t="n"/>
      <c r="D19" s="5" t="n"/>
      <c r="E19" s="5" t="n"/>
      <c r="F19" s="5" t="n"/>
      <c r="G19" s="5" t="n"/>
      <c r="H19" s="5" t="n"/>
      <c r="I19" s="5" t="n"/>
      <c r="J19" s="5" t="n"/>
      <c r="K19" s="5" t="n"/>
      <c r="L19" s="5" t="n"/>
      <c r="M19" s="5" t="n"/>
    </row>
    <row r="20">
      <c r="A20" s="5" t="n"/>
      <c r="B20" s="5" t="n"/>
      <c r="C20" s="5" t="n"/>
      <c r="D20" s="5" t="n"/>
      <c r="E20" s="5" t="n"/>
      <c r="F20" s="5" t="n"/>
      <c r="G20" s="5" t="n"/>
      <c r="H20" s="5" t="n"/>
      <c r="I20" s="5" t="n"/>
      <c r="J20" s="5" t="n"/>
      <c r="K20" s="5" t="n"/>
      <c r="L20" s="5" t="n"/>
      <c r="M20" s="5" t="n"/>
    </row>
    <row r="21">
      <c r="A21" s="5" t="n"/>
      <c r="B21" s="5" t="n"/>
      <c r="C21" s="5" t="n"/>
      <c r="D21" s="5" t="n"/>
      <c r="E21" s="5" t="n"/>
      <c r="F21" s="5" t="n"/>
      <c r="G21" s="5" t="n"/>
      <c r="H21" s="5" t="n"/>
      <c r="I21" s="5" t="n"/>
      <c r="J21" s="5" t="n"/>
      <c r="K21" s="5" t="n"/>
      <c r="L21" s="5" t="n"/>
      <c r="M21" s="5" t="n"/>
    </row>
    <row r="22">
      <c r="A22" s="5" t="n"/>
      <c r="B22" s="5" t="n"/>
      <c r="C22" s="5" t="n"/>
      <c r="D22" s="5" t="n"/>
      <c r="E22" s="5" t="n"/>
      <c r="F22" s="5" t="n"/>
      <c r="G22" s="5" t="n"/>
      <c r="H22" s="5" t="n"/>
      <c r="I22" s="5" t="n"/>
      <c r="J22" s="5" t="n"/>
      <c r="K22" s="5" t="n"/>
      <c r="L22" s="5" t="n"/>
      <c r="M22" s="5" t="n"/>
    </row>
    <row r="23">
      <c r="A23" s="5" t="n"/>
      <c r="B23" s="5" t="n"/>
      <c r="C23" s="5" t="n"/>
      <c r="D23" s="5" t="n"/>
      <c r="E23" s="5" t="n"/>
      <c r="F23" s="5" t="n"/>
      <c r="G23" s="5" t="n"/>
      <c r="H23" s="5" t="n"/>
      <c r="I23" s="5" t="n"/>
      <c r="J23" s="5" t="n"/>
      <c r="K23" s="5" t="n"/>
      <c r="L23" s="5" t="n"/>
      <c r="M23" s="5" t="n"/>
    </row>
    <row r="24">
      <c r="A24" s="4" t="inlineStr">
        <is>
          <t>合計</t>
        </is>
      </c>
      <c r="B24" s="9" t="n"/>
      <c r="C24" s="10">
        <f>SUM(C4:C23)</f>
        <v/>
      </c>
      <c r="D24" s="10">
        <f>SUM(D4:D23)</f>
        <v/>
      </c>
      <c r="E24" s="10">
        <f>SUM(E4:E23)</f>
        <v/>
      </c>
      <c r="F24" s="10">
        <f>SUM(F4:F23)</f>
        <v/>
      </c>
      <c r="G24" s="10">
        <f>SUM(G4:G23)</f>
        <v/>
      </c>
      <c r="H24" s="10">
        <f>SUM(H4:H23)</f>
        <v/>
      </c>
      <c r="I24" s="10">
        <f>SUM(I4:I23)</f>
        <v/>
      </c>
      <c r="J24" s="10">
        <f>SUM(J4:J23)</f>
        <v/>
      </c>
      <c r="K24" s="10">
        <f>SUM(K4:K23)</f>
        <v/>
      </c>
      <c r="L24" s="10">
        <f>SUM(L4:L23)</f>
        <v/>
      </c>
    </row>
  </sheetData>
  <mergeCells count="2">
    <mergeCell ref="A24:B24"/>
    <mergeCell ref="A1:N1"/>
  </mergeCells>
  <dataValidations count="1">
    <dataValidation sqref="M4 M5 M6 M7 M8 M9 M10 M11 M12 M13 M14 M15 M16 M17 M18 M19 M20 M21 M22 M23" showDropDown="0" showInputMessage="0" showErrorMessage="0" allowBlank="1" type="list">
      <formula1>"〇,×,／"</formula1>
    </dataValidation>
  </dataValidations>
  <pageMargins left="0.75" right="0.75" top="1" bottom="1" header="0.5" footer="0.5"/>
</worksheet>
</file>

<file path=xl/worksheets/sheet6.xml><?xml version="1.0" encoding="utf-8"?>
<worksheet xmlns="http://schemas.openxmlformats.org/spreadsheetml/2006/main">
  <sheetPr>
    <tabColor rgb="00ED7D31"/>
    <outlinePr summaryBelow="1" summaryRight="1"/>
    <pageSetUpPr/>
  </sheetPr>
  <dimension ref="A1:F1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7" t="inlineStr">
        <is>
          <t>面積概要表 入力</t>
        </is>
      </c>
    </row>
    <row r="3">
      <c r="A3" s="4" t="inlineStr">
        <is>
          <t>階</t>
        </is>
      </c>
      <c r="B3" s="4" t="inlineStr">
        <is>
          <t>床面積（㎡）</t>
        </is>
      </c>
      <c r="C3" s="4" t="inlineStr">
        <is>
          <t>用途・室名</t>
        </is>
      </c>
      <c r="D3" s="4" t="inlineStr">
        <is>
          <t>構造</t>
        </is>
      </c>
      <c r="E3" s="4" t="inlineStr">
        <is>
          <t>内装天井</t>
        </is>
      </c>
      <c r="F3" s="4" t="inlineStr">
        <is>
          <t>内装壁</t>
        </is>
      </c>
    </row>
    <row r="4">
      <c r="A4" s="12">
        <f>IF(1&lt;=入力フォーム!B14,"1階","")</f>
        <v/>
      </c>
      <c r="B4" s="5" t="n"/>
      <c r="C4" s="5" t="n"/>
      <c r="D4" s="5" t="n"/>
      <c r="E4" s="5" t="n"/>
      <c r="F4" s="5" t="n"/>
    </row>
    <row r="5">
      <c r="A5" s="12">
        <f>IF(2&lt;=入力フォーム!B14,"2階","")</f>
        <v/>
      </c>
      <c r="B5" s="5" t="n"/>
      <c r="C5" s="5" t="n"/>
      <c r="D5" s="5" t="n"/>
      <c r="E5" s="5" t="n"/>
      <c r="F5" s="5" t="n"/>
    </row>
    <row r="6">
      <c r="A6" s="12">
        <f>IF(3&lt;=入力フォーム!B14,"3階","")</f>
        <v/>
      </c>
      <c r="B6" s="5" t="n"/>
      <c r="C6" s="5" t="n"/>
      <c r="D6" s="5" t="n"/>
      <c r="E6" s="5" t="n"/>
      <c r="F6" s="5" t="n"/>
    </row>
    <row r="7">
      <c r="A7" s="12">
        <f>IF(4&lt;=入力フォーム!B14,"4階","")</f>
        <v/>
      </c>
      <c r="B7" s="5" t="n"/>
      <c r="C7" s="5" t="n"/>
      <c r="D7" s="5" t="n"/>
      <c r="E7" s="5" t="n"/>
      <c r="F7" s="5" t="n"/>
    </row>
    <row r="8">
      <c r="A8" s="12">
        <f>IF(5&lt;=入力フォーム!B14,"5階","")</f>
        <v/>
      </c>
      <c r="B8" s="5" t="n"/>
      <c r="C8" s="5" t="n"/>
      <c r="D8" s="5" t="n"/>
      <c r="E8" s="5" t="n"/>
      <c r="F8" s="5" t="n"/>
    </row>
    <row r="9">
      <c r="A9" s="12">
        <f>IF(6&lt;=入力フォーム!B14,"6階","")</f>
        <v/>
      </c>
      <c r="B9" s="5" t="n"/>
      <c r="C9" s="5" t="n"/>
      <c r="D9" s="5" t="n"/>
      <c r="E9" s="5" t="n"/>
      <c r="F9" s="5" t="n"/>
    </row>
    <row r="10">
      <c r="A10" s="12">
        <f>IF(7&lt;=入力フォーム!B14,"7階","")</f>
        <v/>
      </c>
      <c r="B10" s="5" t="n"/>
      <c r="C10" s="5" t="n"/>
      <c r="D10" s="5" t="n"/>
      <c r="E10" s="5" t="n"/>
      <c r="F10" s="5" t="n"/>
    </row>
    <row r="11">
      <c r="A11" s="12">
        <f>IF(8&lt;=入力フォーム!B14,"8階","")</f>
        <v/>
      </c>
      <c r="B11" s="5" t="n"/>
      <c r="C11" s="5" t="n"/>
      <c r="D11" s="5" t="n"/>
      <c r="E11" s="5" t="n"/>
      <c r="F11" s="5" t="n"/>
    </row>
    <row r="12">
      <c r="A12" s="12">
        <f>IF(9&lt;=入力フォーム!B14,"9階","")</f>
        <v/>
      </c>
      <c r="B12" s="5" t="n"/>
      <c r="C12" s="5" t="n"/>
      <c r="D12" s="5" t="n"/>
      <c r="E12" s="5" t="n"/>
      <c r="F12" s="5" t="n"/>
    </row>
    <row r="13">
      <c r="A13" s="12">
        <f>IF(10&lt;=入力フォーム!B14,"10階","")</f>
        <v/>
      </c>
      <c r="B13" s="5" t="n"/>
      <c r="C13" s="5" t="n"/>
      <c r="D13" s="5" t="n"/>
      <c r="E13" s="5" t="n"/>
      <c r="F13" s="5" t="n"/>
    </row>
    <row r="14">
      <c r="A14" s="12">
        <f>IF(11&lt;=入力フォーム!B14,"11階","")</f>
        <v/>
      </c>
      <c r="B14" s="5" t="n"/>
      <c r="C14" s="5" t="n"/>
      <c r="D14" s="5" t="n"/>
      <c r="E14" s="5" t="n"/>
      <c r="F14" s="5" t="n"/>
    </row>
    <row r="15">
      <c r="A15" s="12">
        <f>IF(12&lt;=入力フォーム!B14,"12階","")</f>
        <v/>
      </c>
      <c r="B15" s="5" t="n"/>
      <c r="C15" s="5" t="n"/>
      <c r="D15" s="5" t="n"/>
      <c r="E15" s="5" t="n"/>
      <c r="F15" s="5" t="n"/>
    </row>
    <row r="16">
      <c r="A16" s="12">
        <f>IF(13&lt;=入力フォーム!B14,"13階","")</f>
        <v/>
      </c>
      <c r="B16" s="5" t="n"/>
      <c r="C16" s="5" t="n"/>
      <c r="D16" s="5" t="n"/>
      <c r="E16" s="5" t="n"/>
      <c r="F16" s="5" t="n"/>
    </row>
    <row r="17">
      <c r="A17" s="12">
        <f>IF(14&lt;=入力フォーム!B14,"14階","")</f>
        <v/>
      </c>
      <c r="B17" s="5" t="n"/>
      <c r="C17" s="5" t="n"/>
      <c r="D17" s="5" t="n"/>
      <c r="E17" s="5" t="n"/>
      <c r="F17" s="5" t="n"/>
    </row>
    <row r="18">
      <c r="A18" s="12">
        <f>IF(15&lt;=入力フォーム!B14,"15階","")</f>
        <v/>
      </c>
      <c r="B18" s="5" t="n"/>
      <c r="C18" s="5" t="n"/>
      <c r="D18" s="5" t="n"/>
      <c r="E18" s="5" t="n"/>
      <c r="F18" s="5" t="n"/>
    </row>
    <row r="19">
      <c r="A19" s="12" t="n"/>
      <c r="B19" s="5" t="n"/>
      <c r="C19" s="5" t="n"/>
      <c r="D19" s="5" t="n"/>
      <c r="E19" s="5" t="n"/>
      <c r="F19" s="5" t="n"/>
    </row>
  </sheetData>
  <mergeCells count="1">
    <mergeCell ref="A1:F1"/>
  </mergeCells>
  <pageMargins left="0.75" right="0.75" top="1" bottom="1" header="0.5" footer="0.5"/>
</worksheet>
</file>

<file path=xl/worksheets/sheet7.xml><?xml version="1.0" encoding="utf-8"?>
<worksheet xmlns="http://schemas.openxmlformats.org/spreadsheetml/2006/main">
  <sheetPr>
    <tabColor rgb="00FF0000"/>
    <outlinePr summaryBelow="1" summaryRight="1"/>
    <pageSetUpPr/>
  </sheetPr>
  <dimension ref="A1:D28"/>
  <sheetViews>
    <sheetView workbookViewId="0">
      <selection activeCell="A1" sqref="A1"/>
    </sheetView>
  </sheetViews>
  <sheetFormatPr baseColWidth="8" defaultRowHeight="15"/>
  <cols>
    <col width="6" customWidth="1" min="1" max="1"/>
    <col width="40" customWidth="1" min="2" max="2"/>
    <col width="12" customWidth="1" min="3" max="3"/>
    <col width="30" customWidth="1" min="4" max="4"/>
  </cols>
  <sheetData>
    <row r="1">
      <c r="A1" s="7" t="inlineStr">
        <is>
          <t>提出前チェックリスト</t>
        </is>
      </c>
    </row>
    <row r="3">
      <c r="A3" s="4" t="inlineStr">
        <is>
          <t>No.</t>
        </is>
      </c>
      <c r="B3" s="4" t="inlineStr">
        <is>
          <t>チェック項目</t>
        </is>
      </c>
      <c r="C3" s="4" t="inlineStr">
        <is>
          <t>確認</t>
        </is>
      </c>
      <c r="D3" s="4" t="inlineStr">
        <is>
          <t>備考</t>
        </is>
      </c>
    </row>
    <row r="4">
      <c r="A4" s="13" t="inlineStr">
        <is>
          <t>【着工届】</t>
        </is>
      </c>
    </row>
    <row r="5">
      <c r="A5" s="14" t="n">
        <v>1</v>
      </c>
      <c r="B5" s="14" t="inlineStr">
        <is>
          <t>表紙：届出日が記入されているか</t>
        </is>
      </c>
      <c r="C5" s="15" t="n"/>
      <c r="D5" s="16" t="n"/>
    </row>
    <row r="6">
      <c r="A6" s="14" t="n">
        <v>2</v>
      </c>
      <c r="B6" s="14" t="inlineStr">
        <is>
          <t>表紙：届出者名・住所が正しいか</t>
        </is>
      </c>
      <c r="C6" s="15" t="n"/>
      <c r="D6" s="16" t="n"/>
    </row>
    <row r="7">
      <c r="A7" s="14" t="n">
        <v>3</v>
      </c>
      <c r="B7" s="14" t="inlineStr">
        <is>
          <t>表紙：消防設備士の免状情報が正しいか</t>
        </is>
      </c>
      <c r="C7" s="15" t="n"/>
      <c r="D7" s="16" t="n"/>
    </row>
    <row r="8">
      <c r="A8" s="14" t="n">
        <v>4</v>
      </c>
      <c r="B8" s="14" t="inlineStr">
        <is>
          <t>表紙：工事種別に○がついているか</t>
        </is>
      </c>
      <c r="C8" s="15" t="n"/>
      <c r="D8" s="16" t="n"/>
    </row>
    <row r="9">
      <c r="A9" s="14" t="n">
        <v>5</v>
      </c>
      <c r="B9" s="14" t="inlineStr">
        <is>
          <t>表紙：着工予定日・完成予定日が記入されているか</t>
        </is>
      </c>
      <c r="C9" s="15" t="n"/>
      <c r="D9" s="16" t="n"/>
    </row>
    <row r="10">
      <c r="A10" s="14" t="n">
        <v>6</v>
      </c>
      <c r="B10" s="14" t="inlineStr">
        <is>
          <t>面積概要表：延べ床面積が正しいか</t>
        </is>
      </c>
      <c r="C10" s="15" t="n"/>
      <c r="D10" s="16" t="n"/>
    </row>
    <row r="11">
      <c r="A11" s="14" t="n">
        <v>7</v>
      </c>
      <c r="B11" s="14" t="inlineStr">
        <is>
          <t>面積概要表：階数が正しいか</t>
        </is>
      </c>
      <c r="C11" s="15" t="n"/>
      <c r="D11" s="16" t="n"/>
    </row>
    <row r="12">
      <c r="A12" s="14" t="n">
        <v>8</v>
      </c>
      <c r="B12" s="14" t="inlineStr">
        <is>
          <t>共用部概要表：感知器の種類・個数が図面と一致するか</t>
        </is>
      </c>
      <c r="C12" s="15" t="n"/>
      <c r="D12" s="16" t="n"/>
    </row>
    <row r="13">
      <c r="A13" s="14" t="n">
        <v>9</v>
      </c>
      <c r="B13" s="14" t="inlineStr">
        <is>
          <t>共用部概要表：発信機・表示灯の個数が正しいか</t>
        </is>
      </c>
      <c r="C13" s="15" t="n"/>
      <c r="D13" s="16" t="n"/>
    </row>
    <row r="14">
      <c r="A14" s="14" t="n">
        <v>10</v>
      </c>
      <c r="B14" s="14" t="inlineStr">
        <is>
          <t>住戸部概要表：感知器の種類・個数が図面と一致するか</t>
        </is>
      </c>
      <c r="C14" s="15" t="n"/>
      <c r="D14" s="16" t="n"/>
    </row>
    <row r="15">
      <c r="A15" s="14" t="n">
        <v>11</v>
      </c>
      <c r="B15" s="14" t="inlineStr">
        <is>
          <t>住戸部概要表：住戸用受信機台数が正しいか</t>
        </is>
      </c>
      <c r="C15" s="15" t="n"/>
      <c r="D15" s="16" t="n"/>
    </row>
    <row r="16">
      <c r="A16" s="14" t="n">
        <v>12</v>
      </c>
      <c r="B16" s="14" t="inlineStr">
        <is>
          <t>共用部・住戸部の地区音響装置情報が正しいか</t>
        </is>
      </c>
      <c r="C16" s="15" t="n"/>
      <c r="D16" s="16" t="n"/>
    </row>
    <row r="17">
      <c r="A17" s="14" t="n">
        <v>13</v>
      </c>
      <c r="B17" s="14" t="inlineStr">
        <is>
          <t>地図に該当建物が色付けされているか</t>
        </is>
      </c>
      <c r="C17" s="15" t="n"/>
      <c r="D17" s="16" t="n"/>
    </row>
    <row r="18">
      <c r="A18" s="14" t="n">
        <v>14</v>
      </c>
      <c r="B18" s="14" t="inlineStr">
        <is>
          <t>図面のコピーに正は色付けされているか</t>
        </is>
      </c>
      <c r="C18" s="15" t="n"/>
      <c r="D18" s="16" t="n"/>
    </row>
    <row r="20">
      <c r="A20" s="13" t="inlineStr">
        <is>
          <t>【設置届】</t>
        </is>
      </c>
    </row>
    <row r="21">
      <c r="A21" s="14" t="n">
        <v>1</v>
      </c>
      <c r="B21" s="14" t="inlineStr">
        <is>
          <t>設置届出書：完成年月日が記入されているか</t>
        </is>
      </c>
      <c r="C21" s="15" t="n"/>
      <c r="D21" s="16" t="n"/>
    </row>
    <row r="22">
      <c r="A22" s="14" t="n">
        <v>2</v>
      </c>
      <c r="B22" s="14" t="inlineStr">
        <is>
          <t>試験結果報告書：試験実施日が記入されているか</t>
        </is>
      </c>
      <c r="C22" s="15" t="n"/>
      <c r="D22" s="16" t="n"/>
    </row>
    <row r="23">
      <c r="A23" s="14" t="n">
        <v>3</v>
      </c>
      <c r="B23" s="14" t="inlineStr">
        <is>
          <t>試験結果報告書：試験実施者名・住所が正しいか</t>
        </is>
      </c>
      <c r="C23" s="15" t="n"/>
      <c r="D23" s="16" t="n"/>
    </row>
    <row r="24">
      <c r="A24" s="14" t="n">
        <v>4</v>
      </c>
      <c r="B24" s="14" t="inlineStr">
        <is>
          <t>機器台数一覧：共用部の感知器台数が正しいか</t>
        </is>
      </c>
      <c r="C24" s="15" t="n"/>
      <c r="D24" s="16" t="n"/>
    </row>
    <row r="25">
      <c r="A25" s="14" t="n">
        <v>5</v>
      </c>
      <c r="B25" s="14" t="inlineStr">
        <is>
          <t>機器台数一覧：専有部の感知器台数が正しいか</t>
        </is>
      </c>
      <c r="C25" s="15" t="n"/>
      <c r="D25" s="16" t="n"/>
    </row>
    <row r="26">
      <c r="A26" s="14" t="n">
        <v>6</v>
      </c>
      <c r="B26" s="14" t="inlineStr">
        <is>
          <t>機器台数一覧：結果欄がすべて記入されているか</t>
        </is>
      </c>
      <c r="C26" s="15" t="n"/>
      <c r="D26" s="16" t="n"/>
    </row>
    <row r="27">
      <c r="A27" s="14" t="n">
        <v>7</v>
      </c>
      <c r="B27" s="14" t="inlineStr">
        <is>
          <t>配線試験：絶縁抵抗値が記入されているか</t>
        </is>
      </c>
      <c r="C27" s="15" t="n"/>
      <c r="D27" s="16" t="n"/>
    </row>
    <row r="28">
      <c r="A28" s="14" t="n">
        <v>8</v>
      </c>
      <c r="B28" s="14" t="inlineStr">
        <is>
          <t>配線試験：試験実施者の資格情報が正しいか</t>
        </is>
      </c>
      <c r="C28" s="15" t="n"/>
      <c r="D28" s="16" t="n"/>
    </row>
  </sheetData>
  <mergeCells count="3">
    <mergeCell ref="A1:D1"/>
    <mergeCell ref="A4:D4"/>
    <mergeCell ref="A20:D20"/>
  </mergeCells>
  <dataValidations count="1">
    <dataValidation sqref="C5 C6 C7 C8 C9 C10 C11 C12 C13 C14 C15 C16 C17 C18 C21 C22 C23 C24 C25 C26 C27 C28"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tabColor rgb="0000B0F0"/>
    <outlinePr summaryBelow="1" summaryRight="1"/>
    <pageSetUpPr/>
  </sheetPr>
  <dimension ref="A1:E12"/>
  <sheetViews>
    <sheetView workbookViewId="0">
      <selection activeCell="A1" sqref="A1"/>
    </sheetView>
  </sheetViews>
  <sheetFormatPr baseColWidth="8" defaultRowHeight="15"/>
  <cols>
    <col width="6" customWidth="1" min="1" max="1"/>
    <col width="40" customWidth="1" min="2" max="2"/>
    <col width="12" customWidth="1" min="3" max="3"/>
    <col width="6" customWidth="1" min="4" max="4"/>
    <col width="40" customWidth="1" min="5" max="5"/>
  </cols>
  <sheetData>
    <row r="1">
      <c r="A1" s="7" t="inlineStr">
        <is>
          <t>必要書類一覧</t>
        </is>
      </c>
    </row>
    <row r="3">
      <c r="A3" s="4" t="inlineStr">
        <is>
          <t>No.</t>
        </is>
      </c>
      <c r="B3" s="4" t="inlineStr">
        <is>
          <t>着工届</t>
        </is>
      </c>
      <c r="C3" s="4" t="inlineStr">
        <is>
          <t>正・副・控</t>
        </is>
      </c>
      <c r="D3" s="4" t="inlineStr">
        <is>
          <t>No.</t>
        </is>
      </c>
      <c r="E3" s="4" t="inlineStr">
        <is>
          <t>設置届</t>
        </is>
      </c>
    </row>
    <row r="4">
      <c r="A4" s="14" t="inlineStr">
        <is>
          <t>①</t>
        </is>
      </c>
      <c r="B4" s="14" t="inlineStr">
        <is>
          <t>表紙（着工届出書）</t>
        </is>
      </c>
      <c r="C4" s="14" t="inlineStr">
        <is>
          <t>正・副・控</t>
        </is>
      </c>
      <c r="D4" s="14" t="inlineStr">
        <is>
          <t>①</t>
        </is>
      </c>
      <c r="E4" s="14" t="inlineStr">
        <is>
          <t>設置届出書</t>
        </is>
      </c>
    </row>
    <row r="5">
      <c r="A5" s="14" t="inlineStr">
        <is>
          <t>②</t>
        </is>
      </c>
      <c r="B5" s="14" t="inlineStr">
        <is>
          <t>面積概要表</t>
        </is>
      </c>
      <c r="C5" s="14" t="inlineStr">
        <is>
          <t>正・副・控</t>
        </is>
      </c>
      <c r="D5" s="14" t="inlineStr">
        <is>
          <t>②</t>
        </is>
      </c>
      <c r="E5" s="14" t="inlineStr">
        <is>
          <t>試験結果報告書</t>
        </is>
      </c>
    </row>
    <row r="6">
      <c r="A6" s="14" t="inlineStr">
        <is>
          <t>③</t>
        </is>
      </c>
      <c r="B6" s="14" t="inlineStr">
        <is>
          <t>地図（該当建物に色付け）</t>
        </is>
      </c>
      <c r="C6" s="14" t="inlineStr">
        <is>
          <t>正・副・控</t>
        </is>
      </c>
      <c r="D6" s="14" t="inlineStr">
        <is>
          <t>②</t>
        </is>
      </c>
      <c r="E6" s="14" t="inlineStr">
        <is>
          <t xml:space="preserve">　・自動火災報知設備試験結果報告書</t>
        </is>
      </c>
    </row>
    <row r="7">
      <c r="A7" s="14" t="inlineStr">
        <is>
          <t>④</t>
        </is>
      </c>
      <c r="B7" s="14" t="inlineStr">
        <is>
          <t>共用部その1・その2</t>
        </is>
      </c>
      <c r="C7" s="14" t="inlineStr">
        <is>
          <t>正・副・控</t>
        </is>
      </c>
      <c r="D7" s="14" t="inlineStr">
        <is>
          <t>②</t>
        </is>
      </c>
      <c r="E7" s="14" t="inlineStr">
        <is>
          <t xml:space="preserve">　・共同住宅用自火報試験結果報告書</t>
        </is>
      </c>
    </row>
    <row r="8">
      <c r="A8" s="14" t="inlineStr">
        <is>
          <t>⑤</t>
        </is>
      </c>
      <c r="B8" s="14" t="inlineStr">
        <is>
          <t>住戸部その1・その2</t>
        </is>
      </c>
      <c r="C8" s="14" t="inlineStr">
        <is>
          <t>正・副・控</t>
        </is>
      </c>
      <c r="D8" s="14" t="inlineStr">
        <is>
          <t>②</t>
        </is>
      </c>
      <c r="E8" s="14" t="inlineStr">
        <is>
          <t xml:space="preserve">　・住戸用自火報試験結果報告書</t>
        </is>
      </c>
    </row>
    <row r="9">
      <c r="A9" s="14" t="inlineStr">
        <is>
          <t>⑥</t>
        </is>
      </c>
      <c r="B9" s="14" t="inlineStr">
        <is>
          <t>消防に関する機器の図面</t>
        </is>
      </c>
      <c r="C9" s="14" t="inlineStr">
        <is>
          <t>正・副・控</t>
        </is>
      </c>
      <c r="D9" s="14" t="inlineStr">
        <is>
          <t>③</t>
        </is>
      </c>
      <c r="E9" s="14" t="inlineStr">
        <is>
          <t>機器台数一覧</t>
        </is>
      </c>
    </row>
    <row r="10">
      <c r="A10" s="14" t="inlineStr">
        <is>
          <t>⑦</t>
        </is>
      </c>
      <c r="B10" s="14" t="inlineStr">
        <is>
          <t>図面のコピー（正は色付け）</t>
        </is>
      </c>
      <c r="C10" s="14" t="inlineStr">
        <is>
          <t>正・副・控</t>
        </is>
      </c>
      <c r="D10" s="14" t="inlineStr">
        <is>
          <t>③</t>
        </is>
      </c>
      <c r="E10" s="14" t="inlineStr">
        <is>
          <t xml:space="preserve">　・共同住宅用非常警報設備</t>
        </is>
      </c>
    </row>
    <row r="11">
      <c r="A11" s="14" t="inlineStr">
        <is>
          <t>⑧</t>
        </is>
      </c>
      <c r="B11" s="14" t="inlineStr">
        <is>
          <t>自火報・インターホンの系統図</t>
        </is>
      </c>
      <c r="C11" s="14" t="inlineStr">
        <is>
          <t>正・副・控</t>
        </is>
      </c>
      <c r="D11" s="14" t="inlineStr">
        <is>
          <t>③</t>
        </is>
      </c>
      <c r="E11" s="14" t="inlineStr">
        <is>
          <t xml:space="preserve">　・住戸用自火報・非常警報設備</t>
        </is>
      </c>
    </row>
    <row r="12">
      <c r="A12" s="14" t="inlineStr">
        <is>
          <t>⑨</t>
        </is>
      </c>
      <c r="B12" s="14" t="inlineStr">
        <is>
          <t>平面図（各フロア図）</t>
        </is>
      </c>
      <c r="C12" s="14" t="inlineStr">
        <is>
          <t>正・副・控</t>
        </is>
      </c>
      <c r="D12" s="14" t="inlineStr">
        <is>
          <t>④</t>
        </is>
      </c>
      <c r="E12" s="14" t="inlineStr">
        <is>
          <t>配線試験結果</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2026-06-18T02:44:21Z</dcterms:created>
  <dcterms:modified xsi:type="dcterms:W3CDTF">2026-06-18T02:44:21Z</dcterms:modified>
</cp:coreProperties>
</file>